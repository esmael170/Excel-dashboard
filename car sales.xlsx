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dashboard excel\"/>
    </mc:Choice>
  </mc:AlternateContent>
  <xr:revisionPtr revIDLastSave="0" documentId="13_ncr:1_{1A56E740-EC9A-4D6D-9FA8-0EC134A8E136}" xr6:coauthVersionLast="47" xr6:coauthVersionMax="47" xr10:uidLastSave="{00000000-0000-0000-0000-000000000000}"/>
  <bookViews>
    <workbookView xWindow="-110" yWindow="-110" windowWidth="19420" windowHeight="11020" activeTab="2" xr2:uid="{00000000-000D-0000-FFFF-FFFF00000000}"/>
  </bookViews>
  <sheets>
    <sheet name="Car sales" sheetId="1" r:id="rId1"/>
    <sheet name="pivot table" sheetId="3" r:id="rId2"/>
    <sheet name="dash board" sheetId="5" r:id="rId3"/>
  </sheets>
  <definedNames>
    <definedName name="_xlcn.WorksheetConnection_impossible.xlsxTable11" hidden="1">Table1[]</definedName>
    <definedName name="Slicer_اسم_العميل">#N/A</definedName>
    <definedName name="Slicer_الفئه">#N/A</definedName>
    <definedName name="Slicer_اللون">#N/A</definedName>
    <definedName name="Slicer_الماركة">#N/A</definedName>
    <definedName name="Slicer_المندوب">#N/A</definedName>
    <definedName name="Slicer_المنطقه">#N/A</definedName>
    <definedName name="Slicer_تاريخ_البيع">#N/A</definedName>
    <definedName name="Slicer_حالة_السيارة">#N/A</definedName>
    <definedName name="Slicer_سنة_الصنع">#N/A</definedName>
    <definedName name="Slicer_طريقة_الدفع">#N/A</definedName>
    <definedName name="Slicer_نوع_السيارة">#N/A</definedName>
  </definedNames>
  <calcPr calcId="191029"/>
  <pivotCaches>
    <pivotCache cacheId="2" r:id="rId4"/>
    <pivotCache cacheId="3" r:id="rId5"/>
    <pivotCache cacheId="4" r:id="rId6"/>
    <pivotCache cacheId="5" r:id="rId7"/>
  </pivotCaches>
  <extLst>
    <ext xmlns:x14="http://schemas.microsoft.com/office/spreadsheetml/2009/9/main" uri="{876F7934-8845-4945-9796-88D515C7AA90}">
      <x14:pivotCaches>
        <pivotCache cacheId="6"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mpossibl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B0A4B8-62A5-4088-8EFC-76D33514F66F}"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2" xr16:uid="{1969C809-9734-4DC4-97C0-AB84FB5857FD}" keepAlive="1" name="Query - dim date" description="Connection to the 'dim date' query in the workbook." type="5" refreshedVersion="8" background="1" saveData="1">
    <dbPr connection="Provider=Microsoft.Mashup.OleDb.1;Data Source=$Workbook$;Location=&quot;dim date&quot;;Extended Properties=&quot;&quot;" command="SELECT * FROM [dim date]"/>
  </connection>
  <connection id="3" xr16:uid="{669F7027-4DC1-4802-B7EF-8F3273ED0126}" keepAlive="1" name="Query - fact" description="Connection to the 'fact' query in the workbook." type="5" refreshedVersion="8" background="1" saveData="1">
    <dbPr connection="Provider=Microsoft.Mashup.OleDb.1;Data Source=$Workbook$;Location=fact;Extended Properties=&quot;&quot;" command="SELECT * FROM [fact]"/>
  </connection>
  <connection id="4" xr16:uid="{5E44BCA6-840C-402D-A9FD-ADD39696F48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5" xr16:uid="{901A3053-F4EB-4AB9-BDF2-9E71879B45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CEC71B1-D0D4-4BE8-9339-85B3CBE40AD2}" name="WorksheetConnection_impossible.xlsx!Table1" type="102" refreshedVersion="8" minRefreshableVersion="5">
    <extLst>
      <ext xmlns:x15="http://schemas.microsoft.com/office/spreadsheetml/2010/11/main" uri="{DE250136-89BD-433C-8126-D09CA5730AF9}">
        <x15:connection id="Table1" autoDelete="1">
          <x15:rangePr sourceName="_xlcn.WorksheetConnection_impossible.xlsxTable11"/>
        </x15:connection>
      </ext>
    </extLst>
  </connection>
</connections>
</file>

<file path=xl/sharedStrings.xml><?xml version="1.0" encoding="utf-8"?>
<sst xmlns="http://schemas.openxmlformats.org/spreadsheetml/2006/main" count="3595" uniqueCount="638">
  <si>
    <t>رقم العملية</t>
  </si>
  <si>
    <t>تاريخ البيع</t>
  </si>
  <si>
    <t>اسم العميل</t>
  </si>
  <si>
    <t>رقم الهاتف</t>
  </si>
  <si>
    <t>نوع السيارة</t>
  </si>
  <si>
    <t>الماركة</t>
  </si>
  <si>
    <t>سنة الصنع</t>
  </si>
  <si>
    <t>اللون</t>
  </si>
  <si>
    <t>سعر البيع</t>
  </si>
  <si>
    <t>طريقة الدفع</t>
  </si>
  <si>
    <t>حالة السيارة</t>
  </si>
  <si>
    <t>المندوب</t>
  </si>
  <si>
    <t>2024-09-20</t>
  </si>
  <si>
    <t>حسن أحمد</t>
  </si>
  <si>
    <t>01207374229</t>
  </si>
  <si>
    <t>بيك اب</t>
  </si>
  <si>
    <t>نيسان</t>
  </si>
  <si>
    <t>رمادي</t>
  </si>
  <si>
    <t>تحويل بنكي</t>
  </si>
  <si>
    <t>مستعملة</t>
  </si>
  <si>
    <t>مصطفى</t>
  </si>
  <si>
    <t>2023-07-08</t>
  </si>
  <si>
    <t>علي إبراهيم</t>
  </si>
  <si>
    <t>01138196752</t>
  </si>
  <si>
    <t>هاتشباك</t>
  </si>
  <si>
    <t>فولكس فاجن</t>
  </si>
  <si>
    <t>أبيض</t>
  </si>
  <si>
    <t>تقسيط</t>
  </si>
  <si>
    <t>جديدة</t>
  </si>
  <si>
    <t>سارة</t>
  </si>
  <si>
    <t>2023-09-20</t>
  </si>
  <si>
    <t>أحمد محمد</t>
  </si>
  <si>
    <t>01194163496</t>
  </si>
  <si>
    <t>SUV</t>
  </si>
  <si>
    <t>مرسيدس</t>
  </si>
  <si>
    <t>مينا</t>
  </si>
  <si>
    <t>2023-07-24</t>
  </si>
  <si>
    <t>محمود حسن</t>
  </si>
  <si>
    <t>01186484933</t>
  </si>
  <si>
    <t>بيجو</t>
  </si>
  <si>
    <t>فضي</t>
  </si>
  <si>
    <t>نور</t>
  </si>
  <si>
    <t>2023-12-15</t>
  </si>
  <si>
    <t>طارق سامي</t>
  </si>
  <si>
    <t>01277063359</t>
  </si>
  <si>
    <t>كيا</t>
  </si>
  <si>
    <t>2023-02-14</t>
  </si>
  <si>
    <t>01179795558</t>
  </si>
  <si>
    <t>سيدان</t>
  </si>
  <si>
    <t>كريم</t>
  </si>
  <si>
    <t>2024-10-16</t>
  </si>
  <si>
    <t>خالد يوسف</t>
  </si>
  <si>
    <t>01112303517</t>
  </si>
  <si>
    <t>هيونداي</t>
  </si>
  <si>
    <t>2023-06-02</t>
  </si>
  <si>
    <t>يوسف محمود</t>
  </si>
  <si>
    <t>01280690784</t>
  </si>
  <si>
    <t>أسود</t>
  </si>
  <si>
    <t>2024-04-29</t>
  </si>
  <si>
    <t>01235781061</t>
  </si>
  <si>
    <t>رينو</t>
  </si>
  <si>
    <t>2023-02-01</t>
  </si>
  <si>
    <t>إبراهيم خالد</t>
  </si>
  <si>
    <t>01214019055</t>
  </si>
  <si>
    <t>2024-01-17</t>
  </si>
  <si>
    <t>01104629045</t>
  </si>
  <si>
    <t>كاش</t>
  </si>
  <si>
    <t>2023-11-10</t>
  </si>
  <si>
    <t>01204987425</t>
  </si>
  <si>
    <t>2023-01-31</t>
  </si>
  <si>
    <t>01200082171</t>
  </si>
  <si>
    <t>2024-11-27</t>
  </si>
  <si>
    <t>01159786060</t>
  </si>
  <si>
    <t>2023-06-18</t>
  </si>
  <si>
    <t>01160754577</t>
  </si>
  <si>
    <t>كروس اوفر</t>
  </si>
  <si>
    <t>2023-06-20</t>
  </si>
  <si>
    <t>عبدالله عمر</t>
  </si>
  <si>
    <t>01241511255</t>
  </si>
  <si>
    <t>2023-08-15</t>
  </si>
  <si>
    <t>محمد علي</t>
  </si>
  <si>
    <t>01177960777</t>
  </si>
  <si>
    <t>أزرق</t>
  </si>
  <si>
    <t>2023-05-25</t>
  </si>
  <si>
    <t>01139488292</t>
  </si>
  <si>
    <t>2023-08-12</t>
  </si>
  <si>
    <t>01232795006</t>
  </si>
  <si>
    <t>شيفروليه</t>
  </si>
  <si>
    <t>2024-10-02</t>
  </si>
  <si>
    <t>01216870635</t>
  </si>
  <si>
    <t>سكودا</t>
  </si>
  <si>
    <t>2024-09-08</t>
  </si>
  <si>
    <t>01118923342</t>
  </si>
  <si>
    <t>2024-11-10</t>
  </si>
  <si>
    <t>01237137004</t>
  </si>
  <si>
    <t>2023-01-08</t>
  </si>
  <si>
    <t>01161037050</t>
  </si>
  <si>
    <t>أحمر</t>
  </si>
  <si>
    <t>2025-01-03</t>
  </si>
  <si>
    <t>01118856988</t>
  </si>
  <si>
    <t>2023-11-21</t>
  </si>
  <si>
    <t>01121869062</t>
  </si>
  <si>
    <t>2024-03-20</t>
  </si>
  <si>
    <t>01215853378</t>
  </si>
  <si>
    <t>2023-08-14</t>
  </si>
  <si>
    <t>01102824319</t>
  </si>
  <si>
    <t>تويوتا</t>
  </si>
  <si>
    <t>2023-11-26</t>
  </si>
  <si>
    <t>01255501456</t>
  </si>
  <si>
    <t>2024-07-29</t>
  </si>
  <si>
    <t>01239805328</t>
  </si>
  <si>
    <t>2024-05-28</t>
  </si>
  <si>
    <t>01115098579</t>
  </si>
  <si>
    <t>2024-10-18</t>
  </si>
  <si>
    <t>01180132273</t>
  </si>
  <si>
    <t>2023-07-25</t>
  </si>
  <si>
    <t>01244891899</t>
  </si>
  <si>
    <t>2023-11-27</t>
  </si>
  <si>
    <t>01198188176</t>
  </si>
  <si>
    <t>2024-04-05</t>
  </si>
  <si>
    <t>01263834307</t>
  </si>
  <si>
    <t>2023-02-11</t>
  </si>
  <si>
    <t>01187924708</t>
  </si>
  <si>
    <t>2023-01-03</t>
  </si>
  <si>
    <t>01295068269</t>
  </si>
  <si>
    <t>2023-04-21</t>
  </si>
  <si>
    <t>01220759104</t>
  </si>
  <si>
    <t>2023-06-22</t>
  </si>
  <si>
    <t>01116406447</t>
  </si>
  <si>
    <t>2023-12-07</t>
  </si>
  <si>
    <t>01169563346</t>
  </si>
  <si>
    <t>2023-04-10</t>
  </si>
  <si>
    <t>01292289093</t>
  </si>
  <si>
    <t>2025-01-27</t>
  </si>
  <si>
    <t>01254814526</t>
  </si>
  <si>
    <t>2024-01-27</t>
  </si>
  <si>
    <t>01288220615</t>
  </si>
  <si>
    <t>01180784171</t>
  </si>
  <si>
    <t>2024-03-03</t>
  </si>
  <si>
    <t>01277207089</t>
  </si>
  <si>
    <t>01294605919</t>
  </si>
  <si>
    <t>2024-09-13</t>
  </si>
  <si>
    <t>01220975527</t>
  </si>
  <si>
    <t>2025-02-01</t>
  </si>
  <si>
    <t>01146150516</t>
  </si>
  <si>
    <t>2023-08-02</t>
  </si>
  <si>
    <t>01255871335</t>
  </si>
  <si>
    <t>2024-03-24</t>
  </si>
  <si>
    <t>01188566504</t>
  </si>
  <si>
    <t>2024-04-20</t>
  </si>
  <si>
    <t>01190947969</t>
  </si>
  <si>
    <t>2023-12-20</t>
  </si>
  <si>
    <t>01147345262</t>
  </si>
  <si>
    <t>2023-10-03</t>
  </si>
  <si>
    <t>01175298152</t>
  </si>
  <si>
    <t>2023-03-20</t>
  </si>
  <si>
    <t>01104654630</t>
  </si>
  <si>
    <t>2024-11-25</t>
  </si>
  <si>
    <t>01154592091</t>
  </si>
  <si>
    <t>2023-08-17</t>
  </si>
  <si>
    <t>01139811744</t>
  </si>
  <si>
    <t>2024-07-02</t>
  </si>
  <si>
    <t>01198784290</t>
  </si>
  <si>
    <t>2024-07-11</t>
  </si>
  <si>
    <t>01267608391</t>
  </si>
  <si>
    <t>2023-04-04</t>
  </si>
  <si>
    <t>01273835899</t>
  </si>
  <si>
    <t>2024-10-15</t>
  </si>
  <si>
    <t>01199393399</t>
  </si>
  <si>
    <t>2024-11-14</t>
  </si>
  <si>
    <t>01264948924</t>
  </si>
  <si>
    <t>2023-10-21</t>
  </si>
  <si>
    <t>01295648433</t>
  </si>
  <si>
    <t>2023-05-28</t>
  </si>
  <si>
    <t>01166475313</t>
  </si>
  <si>
    <t>01107130364</t>
  </si>
  <si>
    <t>2023-03-19</t>
  </si>
  <si>
    <t>01112676460</t>
  </si>
  <si>
    <t>2023-01-20</t>
  </si>
  <si>
    <t>01281801610</t>
  </si>
  <si>
    <t>2023-09-28</t>
  </si>
  <si>
    <t>01202226447</t>
  </si>
  <si>
    <t>2025-01-30</t>
  </si>
  <si>
    <t>01120526601</t>
  </si>
  <si>
    <t>2023-03-11</t>
  </si>
  <si>
    <t>01134324263</t>
  </si>
  <si>
    <t>2023-01-25</t>
  </si>
  <si>
    <t>01206447324</t>
  </si>
  <si>
    <t>2023-06-25</t>
  </si>
  <si>
    <t>01191746751</t>
  </si>
  <si>
    <t>2024-08-15</t>
  </si>
  <si>
    <t>01176281069</t>
  </si>
  <si>
    <t>2024-03-09</t>
  </si>
  <si>
    <t>01200730482</t>
  </si>
  <si>
    <t>2023-10-08</t>
  </si>
  <si>
    <t>01283045612</t>
  </si>
  <si>
    <t>2024-09-14</t>
  </si>
  <si>
    <t>01243723475</t>
  </si>
  <si>
    <t>2023-08-09</t>
  </si>
  <si>
    <t>01252204682</t>
  </si>
  <si>
    <t>2023-01-24</t>
  </si>
  <si>
    <t>01126217695</t>
  </si>
  <si>
    <t>2023-02-27</t>
  </si>
  <si>
    <t>01113187260</t>
  </si>
  <si>
    <t>2023-04-09</t>
  </si>
  <si>
    <t>01148394863</t>
  </si>
  <si>
    <t>2023-04-22</t>
  </si>
  <si>
    <t>01242943082</t>
  </si>
  <si>
    <t>2023-08-27</t>
  </si>
  <si>
    <t>01204524889</t>
  </si>
  <si>
    <t>2023-11-29</t>
  </si>
  <si>
    <t>01280256958</t>
  </si>
  <si>
    <t>2023-10-07</t>
  </si>
  <si>
    <t>01262810300</t>
  </si>
  <si>
    <t>2023-08-21</t>
  </si>
  <si>
    <t>01287496394</t>
  </si>
  <si>
    <t>2023-05-27</t>
  </si>
  <si>
    <t>01253669194</t>
  </si>
  <si>
    <t>2023-11-17</t>
  </si>
  <si>
    <t>01241124937</t>
  </si>
  <si>
    <t>2023-07-31</t>
  </si>
  <si>
    <t>01116655841</t>
  </si>
  <si>
    <t>2023-06-06</t>
  </si>
  <si>
    <t>01171530229</t>
  </si>
  <si>
    <t>2023-09-29</t>
  </si>
  <si>
    <t>01297151285</t>
  </si>
  <si>
    <t>2023-09-07</t>
  </si>
  <si>
    <t>01196981906</t>
  </si>
  <si>
    <t>2024-03-12</t>
  </si>
  <si>
    <t>01293362952</t>
  </si>
  <si>
    <t>2024-08-31</t>
  </si>
  <si>
    <t>01280545941</t>
  </si>
  <si>
    <t>2023-10-24</t>
  </si>
  <si>
    <t>01161928363</t>
  </si>
  <si>
    <t>2024-03-01</t>
  </si>
  <si>
    <t>01273978380</t>
  </si>
  <si>
    <t>2023-02-10</t>
  </si>
  <si>
    <t>01272028039</t>
  </si>
  <si>
    <t>2023-10-16</t>
  </si>
  <si>
    <t>01232955858</t>
  </si>
  <si>
    <t>2024-12-06</t>
  </si>
  <si>
    <t>01263966284</t>
  </si>
  <si>
    <t>2023-09-21</t>
  </si>
  <si>
    <t>01257707590</t>
  </si>
  <si>
    <t>2023-07-17</t>
  </si>
  <si>
    <t>01149086509</t>
  </si>
  <si>
    <t>2024-06-05</t>
  </si>
  <si>
    <t>01134971122</t>
  </si>
  <si>
    <t>2024-01-20</t>
  </si>
  <si>
    <t>01208635600</t>
  </si>
  <si>
    <t>2024-08-04</t>
  </si>
  <si>
    <t>01259189667</t>
  </si>
  <si>
    <t>2024-03-28</t>
  </si>
  <si>
    <t>01160372502</t>
  </si>
  <si>
    <t>2024-08-08</t>
  </si>
  <si>
    <t>01171768957</t>
  </si>
  <si>
    <t>2023-03-10</t>
  </si>
  <si>
    <t>01214725270</t>
  </si>
  <si>
    <t>2023-10-19</t>
  </si>
  <si>
    <t>01108758940</t>
  </si>
  <si>
    <t>01100101028</t>
  </si>
  <si>
    <t>01105081798</t>
  </si>
  <si>
    <t>2023-07-01</t>
  </si>
  <si>
    <t>01149667145</t>
  </si>
  <si>
    <t>2025-02-07</t>
  </si>
  <si>
    <t>01173447020</t>
  </si>
  <si>
    <t>2024-04-07</t>
  </si>
  <si>
    <t>01298624918</t>
  </si>
  <si>
    <t>2024-07-18</t>
  </si>
  <si>
    <t>01209855848</t>
  </si>
  <si>
    <t>2024-09-04</t>
  </si>
  <si>
    <t>01252290765</t>
  </si>
  <si>
    <t>2023-09-08</t>
  </si>
  <si>
    <t>01130251586</t>
  </si>
  <si>
    <t>2023-12-05</t>
  </si>
  <si>
    <t>01111621091</t>
  </si>
  <si>
    <t>2023-02-04</t>
  </si>
  <si>
    <t>01232474604</t>
  </si>
  <si>
    <t>2024-11-16</t>
  </si>
  <si>
    <t>01253171605</t>
  </si>
  <si>
    <t>2024-04-08</t>
  </si>
  <si>
    <t>01268271431</t>
  </si>
  <si>
    <t>01199178044</t>
  </si>
  <si>
    <t>2023-05-05</t>
  </si>
  <si>
    <t>01180685685</t>
  </si>
  <si>
    <t>2024-04-24</t>
  </si>
  <si>
    <t>01123272293</t>
  </si>
  <si>
    <t>01233522262</t>
  </si>
  <si>
    <t>2024-12-26</t>
  </si>
  <si>
    <t>01220392687</t>
  </si>
  <si>
    <t>2023-12-10</t>
  </si>
  <si>
    <t>01107600337</t>
  </si>
  <si>
    <t>2023-10-10</t>
  </si>
  <si>
    <t>01107006061</t>
  </si>
  <si>
    <t>2024-08-19</t>
  </si>
  <si>
    <t>01254759660</t>
  </si>
  <si>
    <t>2024-07-16</t>
  </si>
  <si>
    <t>01174973647</t>
  </si>
  <si>
    <t>2024-08-28</t>
  </si>
  <si>
    <t>01167002906</t>
  </si>
  <si>
    <t>2023-01-04</t>
  </si>
  <si>
    <t>01124380059</t>
  </si>
  <si>
    <t>01158795702</t>
  </si>
  <si>
    <t>2024-11-01</t>
  </si>
  <si>
    <t>01213895336</t>
  </si>
  <si>
    <t>2023-10-13</t>
  </si>
  <si>
    <t>01278857114</t>
  </si>
  <si>
    <t>2023-12-11</t>
  </si>
  <si>
    <t>01278646159</t>
  </si>
  <si>
    <t>2025-01-06</t>
  </si>
  <si>
    <t>01277400717</t>
  </si>
  <si>
    <t>2023-09-05</t>
  </si>
  <si>
    <t>01176638706</t>
  </si>
  <si>
    <t>2024-07-12</t>
  </si>
  <si>
    <t>01222868953</t>
  </si>
  <si>
    <t>01289023877</t>
  </si>
  <si>
    <t>2024-12-17</t>
  </si>
  <si>
    <t>01205698243</t>
  </si>
  <si>
    <t>2024-04-10</t>
  </si>
  <si>
    <t>01113117854</t>
  </si>
  <si>
    <t>2023-12-03</t>
  </si>
  <si>
    <t>01269454966</t>
  </si>
  <si>
    <t>2024-04-12</t>
  </si>
  <si>
    <t>01212795993</t>
  </si>
  <si>
    <t>2024-08-30</t>
  </si>
  <si>
    <t>01154763704</t>
  </si>
  <si>
    <t>2024-12-20</t>
  </si>
  <si>
    <t>01214208038</t>
  </si>
  <si>
    <t>2024-04-01</t>
  </si>
  <si>
    <t>01275645564</t>
  </si>
  <si>
    <t>2024-07-31</t>
  </si>
  <si>
    <t>01113221371</t>
  </si>
  <si>
    <t>2024-11-12</t>
  </si>
  <si>
    <t>01228635087</t>
  </si>
  <si>
    <t>2024-08-25</t>
  </si>
  <si>
    <t>01219803689</t>
  </si>
  <si>
    <t>2023-03-12</t>
  </si>
  <si>
    <t>01279938943</t>
  </si>
  <si>
    <t>01224541714</t>
  </si>
  <si>
    <t>2023-04-01</t>
  </si>
  <si>
    <t>01280472035</t>
  </si>
  <si>
    <t>2024-06-01</t>
  </si>
  <si>
    <t>01179652124</t>
  </si>
  <si>
    <t>2025-03-02</t>
  </si>
  <si>
    <t>01158922666</t>
  </si>
  <si>
    <t>2023-03-31</t>
  </si>
  <si>
    <t>01175328589</t>
  </si>
  <si>
    <t>2024-02-02</t>
  </si>
  <si>
    <t>01298075591</t>
  </si>
  <si>
    <t>01197366401</t>
  </si>
  <si>
    <t>01132713235</t>
  </si>
  <si>
    <t>2024-04-04</t>
  </si>
  <si>
    <t>01264533222</t>
  </si>
  <si>
    <t>2023-03-07</t>
  </si>
  <si>
    <t>01115210705</t>
  </si>
  <si>
    <t>2023-11-24</t>
  </si>
  <si>
    <t>01195955612</t>
  </si>
  <si>
    <t>2023-12-14</t>
  </si>
  <si>
    <t>01203222920</t>
  </si>
  <si>
    <t>2023-02-19</t>
  </si>
  <si>
    <t>01218735890</t>
  </si>
  <si>
    <t>2023-07-04</t>
  </si>
  <si>
    <t>01267926887</t>
  </si>
  <si>
    <t>2023-05-08</t>
  </si>
  <si>
    <t>01101722713</t>
  </si>
  <si>
    <t>2023-02-28</t>
  </si>
  <si>
    <t>01127705062</t>
  </si>
  <si>
    <t>2023-10-09</t>
  </si>
  <si>
    <t>01185917134</t>
  </si>
  <si>
    <t>2025-02-09</t>
  </si>
  <si>
    <t>01273603158</t>
  </si>
  <si>
    <t>2024-08-11</t>
  </si>
  <si>
    <t>01150251305</t>
  </si>
  <si>
    <t>2023-12-18</t>
  </si>
  <si>
    <t>01143554142</t>
  </si>
  <si>
    <t>2024-01-14</t>
  </si>
  <si>
    <t>01292966198</t>
  </si>
  <si>
    <t>2024-06-15</t>
  </si>
  <si>
    <t>01138696554</t>
  </si>
  <si>
    <t>2023-08-07</t>
  </si>
  <si>
    <t>01140461104</t>
  </si>
  <si>
    <t>2023-04-16</t>
  </si>
  <si>
    <t>01226509081</t>
  </si>
  <si>
    <t>2024-01-07</t>
  </si>
  <si>
    <t>01137754451</t>
  </si>
  <si>
    <t>2024-02-28</t>
  </si>
  <si>
    <t>01263083184</t>
  </si>
  <si>
    <t>01156642086</t>
  </si>
  <si>
    <t>2024-09-22</t>
  </si>
  <si>
    <t>01293044409</t>
  </si>
  <si>
    <t>2024-05-24</t>
  </si>
  <si>
    <t>01137729318</t>
  </si>
  <si>
    <t>2025-02-19</t>
  </si>
  <si>
    <t>01130724261</t>
  </si>
  <si>
    <t>2024-01-11</t>
  </si>
  <si>
    <t>01272049255</t>
  </si>
  <si>
    <t>2024-01-23</t>
  </si>
  <si>
    <t>01231476037</t>
  </si>
  <si>
    <t>01222148943</t>
  </si>
  <si>
    <t>01225463438</t>
  </si>
  <si>
    <t>2023-09-02</t>
  </si>
  <si>
    <t>01153228959</t>
  </si>
  <si>
    <t>2023-07-10</t>
  </si>
  <si>
    <t>01150079100</t>
  </si>
  <si>
    <t>2023-04-26</t>
  </si>
  <si>
    <t>01292566273</t>
  </si>
  <si>
    <t>2023-07-09</t>
  </si>
  <si>
    <t>01125837986</t>
  </si>
  <si>
    <t>2023-11-11</t>
  </si>
  <si>
    <t>01169124487</t>
  </si>
  <si>
    <t>01198886814</t>
  </si>
  <si>
    <t>01146107595</t>
  </si>
  <si>
    <t>2024-02-17</t>
  </si>
  <si>
    <t>01227233512</t>
  </si>
  <si>
    <t>2023-05-07</t>
  </si>
  <si>
    <t>01154727305</t>
  </si>
  <si>
    <t>2024-07-09</t>
  </si>
  <si>
    <t>01109133384</t>
  </si>
  <si>
    <t>2024-06-06</t>
  </si>
  <si>
    <t>01291414777</t>
  </si>
  <si>
    <t>2023-02-12</t>
  </si>
  <si>
    <t>01245528424</t>
  </si>
  <si>
    <t>2024-07-04</t>
  </si>
  <si>
    <t>01273796824</t>
  </si>
  <si>
    <t>2024-10-13</t>
  </si>
  <si>
    <t>01159381998</t>
  </si>
  <si>
    <t>01270582585</t>
  </si>
  <si>
    <t>2025-01-23</t>
  </si>
  <si>
    <t>01209377227</t>
  </si>
  <si>
    <t>01124968268</t>
  </si>
  <si>
    <t>2023-09-09</t>
  </si>
  <si>
    <t>01158364572</t>
  </si>
  <si>
    <t>01163649386</t>
  </si>
  <si>
    <t>2023-04-06</t>
  </si>
  <si>
    <t>01246944401</t>
  </si>
  <si>
    <t>2024-11-24</t>
  </si>
  <si>
    <t>01233810365</t>
  </si>
  <si>
    <t>2023-10-05</t>
  </si>
  <si>
    <t>01294673157</t>
  </si>
  <si>
    <t>2023-09-18</t>
  </si>
  <si>
    <t>01228773509</t>
  </si>
  <si>
    <t>01268927915</t>
  </si>
  <si>
    <t>2023-01-15</t>
  </si>
  <si>
    <t>01163738655</t>
  </si>
  <si>
    <t>2023-05-17</t>
  </si>
  <si>
    <t>01274056179</t>
  </si>
  <si>
    <t>2023-01-10</t>
  </si>
  <si>
    <t>01246179487</t>
  </si>
  <si>
    <t>2024-02-09</t>
  </si>
  <si>
    <t>01262358492</t>
  </si>
  <si>
    <t>2025-03-01</t>
  </si>
  <si>
    <t>01239443811</t>
  </si>
  <si>
    <t>01276756635</t>
  </si>
  <si>
    <t>01121226210</t>
  </si>
  <si>
    <t>2023-02-07</t>
  </si>
  <si>
    <t>01106361357</t>
  </si>
  <si>
    <t>2025-03-07</t>
  </si>
  <si>
    <t>01289466478</t>
  </si>
  <si>
    <t>2024-04-21</t>
  </si>
  <si>
    <t>01108221998</t>
  </si>
  <si>
    <t>2024-09-23</t>
  </si>
  <si>
    <t>01274320352</t>
  </si>
  <si>
    <t>2023-05-18</t>
  </si>
  <si>
    <t>01246574904</t>
  </si>
  <si>
    <t>01163895146</t>
  </si>
  <si>
    <t>01272411050</t>
  </si>
  <si>
    <t>2024-03-19</t>
  </si>
  <si>
    <t>01101063540</t>
  </si>
  <si>
    <t>2023-06-07</t>
  </si>
  <si>
    <t>01185657665</t>
  </si>
  <si>
    <t>2024-01-13</t>
  </si>
  <si>
    <t>01283510429</t>
  </si>
  <si>
    <t>2023-09-17</t>
  </si>
  <si>
    <t>01169159169</t>
  </si>
  <si>
    <t>2024-11-20</t>
  </si>
  <si>
    <t>01254243322</t>
  </si>
  <si>
    <t>2024-05-22</t>
  </si>
  <si>
    <t>01248880251</t>
  </si>
  <si>
    <t>2023-06-19</t>
  </si>
  <si>
    <t>01215506423</t>
  </si>
  <si>
    <t>2024-03-29</t>
  </si>
  <si>
    <t>01283213443</t>
  </si>
  <si>
    <t>2024-07-14</t>
  </si>
  <si>
    <t>01156307573</t>
  </si>
  <si>
    <t>2023-05-14</t>
  </si>
  <si>
    <t>01294322143</t>
  </si>
  <si>
    <t>2023-03-28</t>
  </si>
  <si>
    <t>01283719206</t>
  </si>
  <si>
    <t>2024-02-01</t>
  </si>
  <si>
    <t>01109648116</t>
  </si>
  <si>
    <t>01185932082</t>
  </si>
  <si>
    <t>01143236131</t>
  </si>
  <si>
    <t>2024-03-04</t>
  </si>
  <si>
    <t>01212658714</t>
  </si>
  <si>
    <t>2023-09-11</t>
  </si>
  <si>
    <t>01245816181</t>
  </si>
  <si>
    <t>2024-02-13</t>
  </si>
  <si>
    <t>01298192803</t>
  </si>
  <si>
    <t>2025-01-22</t>
  </si>
  <si>
    <t>01297385515</t>
  </si>
  <si>
    <t>2023-08-03</t>
  </si>
  <si>
    <t>01266986514</t>
  </si>
  <si>
    <t>2023-01-02</t>
  </si>
  <si>
    <t>01268843411</t>
  </si>
  <si>
    <t>01241564434</t>
  </si>
  <si>
    <t>01265794077</t>
  </si>
  <si>
    <t>01225633775</t>
  </si>
  <si>
    <t>2023-02-05</t>
  </si>
  <si>
    <t>01239977662</t>
  </si>
  <si>
    <t>2024-06-07</t>
  </si>
  <si>
    <t>01230525758</t>
  </si>
  <si>
    <t>2023-09-01</t>
  </si>
  <si>
    <t>01129853275</t>
  </si>
  <si>
    <t>01123093747</t>
  </si>
  <si>
    <t>2023-10-28</t>
  </si>
  <si>
    <t>01215942614</t>
  </si>
  <si>
    <t>2023-02-22</t>
  </si>
  <si>
    <t>01288382390</t>
  </si>
  <si>
    <t>2025-01-08</t>
  </si>
  <si>
    <t>01259583131</t>
  </si>
  <si>
    <t>01141029722</t>
  </si>
  <si>
    <t>01208256546</t>
  </si>
  <si>
    <t>2025-01-17</t>
  </si>
  <si>
    <t>01294685660</t>
  </si>
  <si>
    <t>2024-11-28</t>
  </si>
  <si>
    <t>01130736405</t>
  </si>
  <si>
    <t>01275639670</t>
  </si>
  <si>
    <t>2024-11-03</t>
  </si>
  <si>
    <t>01214455938</t>
  </si>
  <si>
    <t>2024-02-04</t>
  </si>
  <si>
    <t>01163577021</t>
  </si>
  <si>
    <t>2023-05-29</t>
  </si>
  <si>
    <t>01249566562</t>
  </si>
  <si>
    <t>2024-09-11</t>
  </si>
  <si>
    <t>01280271754</t>
  </si>
  <si>
    <t>01163626391</t>
  </si>
  <si>
    <t>2023-11-05</t>
  </si>
  <si>
    <t>01158743887</t>
  </si>
  <si>
    <t>01233771608</t>
  </si>
  <si>
    <t>2024-11-13</t>
  </si>
  <si>
    <t>01225650321</t>
  </si>
  <si>
    <t>01184763541</t>
  </si>
  <si>
    <t>2025-01-12</t>
  </si>
  <si>
    <t>01293997756</t>
  </si>
  <si>
    <t>01132197730</t>
  </si>
  <si>
    <t>2024-06-09</t>
  </si>
  <si>
    <t>01116115142</t>
  </si>
  <si>
    <t>01123552546</t>
  </si>
  <si>
    <t>2023-01-30</t>
  </si>
  <si>
    <t>01199260068</t>
  </si>
  <si>
    <t>2023-01-22</t>
  </si>
  <si>
    <t>01139210326</t>
  </si>
  <si>
    <t>2024-12-03</t>
  </si>
  <si>
    <t>01238288143</t>
  </si>
  <si>
    <t>01106717774</t>
  </si>
  <si>
    <t>2023-05-21</t>
  </si>
  <si>
    <t>01156247696</t>
  </si>
  <si>
    <t>2023-11-07</t>
  </si>
  <si>
    <t>01215701497</t>
  </si>
  <si>
    <t>2023-10-14</t>
  </si>
  <si>
    <t>01163122752</t>
  </si>
  <si>
    <t>2024-04-11</t>
  </si>
  <si>
    <t>01108650081</t>
  </si>
  <si>
    <t>2023-05-24</t>
  </si>
  <si>
    <t>01118186309</t>
  </si>
  <si>
    <t>01188185622</t>
  </si>
  <si>
    <t>2024-07-30</t>
  </si>
  <si>
    <t>01265622400</t>
  </si>
  <si>
    <t>2023-12-25</t>
  </si>
  <si>
    <t>01211855681</t>
  </si>
  <si>
    <t>2024-08-23</t>
  </si>
  <si>
    <t>01167594221</t>
  </si>
  <si>
    <t>2024-08-10</t>
  </si>
  <si>
    <t>01258014181</t>
  </si>
  <si>
    <t>2023-08-10</t>
  </si>
  <si>
    <t>01168503411</t>
  </si>
  <si>
    <t>01246528203</t>
  </si>
  <si>
    <t>2024-05-25</t>
  </si>
  <si>
    <t>01231261475</t>
  </si>
  <si>
    <t>2024-09-05</t>
  </si>
  <si>
    <t>01164509922</t>
  </si>
  <si>
    <t>2023-04-08</t>
  </si>
  <si>
    <t>01157118080</t>
  </si>
  <si>
    <t>2023-07-27</t>
  </si>
  <si>
    <t>01257868413</t>
  </si>
  <si>
    <t>2023-06-05</t>
  </si>
  <si>
    <t>01146449534</t>
  </si>
  <si>
    <t>2023-07-23</t>
  </si>
  <si>
    <t>01283314524</t>
  </si>
  <si>
    <t>2024-04-30</t>
  </si>
  <si>
    <t>01272235306</t>
  </si>
  <si>
    <t>2024-05-11</t>
  </si>
  <si>
    <t>01172250478</t>
  </si>
  <si>
    <t>01258282261</t>
  </si>
  <si>
    <t>2024-10-04</t>
  </si>
  <si>
    <t>01128305140</t>
  </si>
  <si>
    <t>2025-02-24</t>
  </si>
  <si>
    <t>01283024604</t>
  </si>
  <si>
    <t>2024-03-17</t>
  </si>
  <si>
    <t>01208071595</t>
  </si>
  <si>
    <t>01124807062</t>
  </si>
  <si>
    <t>2024-01-21</t>
  </si>
  <si>
    <t>01102783626</t>
  </si>
  <si>
    <t>01115696528</t>
  </si>
  <si>
    <t>2024-05-02</t>
  </si>
  <si>
    <t>01156606226</t>
  </si>
  <si>
    <t>01288642118</t>
  </si>
  <si>
    <t>مبيعات سيارات يعتبر مش موجوده في الحياه</t>
  </si>
  <si>
    <t>Grand Total</t>
  </si>
  <si>
    <t>Sum of سعر البيع</t>
  </si>
  <si>
    <t>الفئه</t>
  </si>
  <si>
    <t xml:space="preserve">اولي </t>
  </si>
  <si>
    <t>تانيه</t>
  </si>
  <si>
    <t>اعلي فئه</t>
  </si>
  <si>
    <t>سابعه</t>
  </si>
  <si>
    <t>رابعه</t>
  </si>
  <si>
    <t>تالته</t>
  </si>
  <si>
    <t>بيجو Total</t>
  </si>
  <si>
    <t>تويوتا Total</t>
  </si>
  <si>
    <t>رينو Total</t>
  </si>
  <si>
    <t>سكودا Total</t>
  </si>
  <si>
    <t>شيفروليه Total</t>
  </si>
  <si>
    <t>فولكس فاجن Total</t>
  </si>
  <si>
    <t>كيا Total</t>
  </si>
  <si>
    <t>مرسيدس Total</t>
  </si>
  <si>
    <t>نيسان Total</t>
  </si>
  <si>
    <t>هيونداي Total</t>
  </si>
  <si>
    <t>Count of طريقة الدفع</t>
  </si>
  <si>
    <t>تقييم المندوب</t>
  </si>
  <si>
    <t>المنطقه</t>
  </si>
  <si>
    <t>الجيزة</t>
  </si>
  <si>
    <t>أسيوط</t>
  </si>
  <si>
    <t>المنصورة</t>
  </si>
  <si>
    <t>الإسكندرية</t>
  </si>
  <si>
    <t>القاهرة</t>
  </si>
  <si>
    <t>Top 10</t>
  </si>
  <si>
    <t>Row Labels</t>
  </si>
  <si>
    <t>Sum of تقييم المندوب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</si>
</sst>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quot;$&quot;* #,##0_);_(&quot;$&quot;* \(#,##0\);_(&quot;$&quot;* &quot;-&quot;??_);_(@_)"/>
  </numFmts>
  <fonts count="5" x14ac:knownFonts="1">
    <font>
      <sz val="11"/>
      <color theme="1"/>
      <name val="Calibri"/>
      <family val="2"/>
      <scheme val="minor"/>
    </font>
    <font>
      <b/>
      <sz val="12"/>
      <color theme="1" tint="4.9989318521683403E-2"/>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top/>
      <bottom/>
      <diagonal/>
    </border>
    <border>
      <left/>
      <right/>
      <top style="thin">
        <color theme="0" tint="-0.34998626667073579"/>
      </top>
      <bottom/>
      <diagonal/>
    </border>
  </borders>
  <cellStyleXfs count="1">
    <xf numFmtId="0" fontId="0" fillId="0" borderId="0"/>
  </cellStyleXfs>
  <cellXfs count="23">
    <xf numFmtId="0" fontId="0" fillId="0" borderId="0" xfId="0"/>
    <xf numFmtId="0" fontId="0" fillId="0" borderId="0" xfId="0" applyAlignment="1">
      <alignment horizontal="center"/>
    </xf>
    <xf numFmtId="49" fontId="1" fillId="0" borderId="0" xfId="0" applyNumberFormat="1" applyFont="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2" borderId="0" xfId="0" applyFill="1"/>
    <xf numFmtId="49" fontId="4" fillId="0" borderId="0" xfId="0" applyNumberFormat="1" applyFon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49" fontId="0" fillId="0" borderId="0" xfId="0" applyNumberFormat="1"/>
    <xf numFmtId="164" fontId="0" fillId="0" borderId="0" xfId="0" applyNumberFormat="1" applyAlignment="1">
      <alignment horizontal="center"/>
    </xf>
    <xf numFmtId="49" fontId="3"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5" fontId="2" fillId="0" borderId="2" xfId="0" applyNumberFormat="1" applyFont="1" applyFill="1" applyBorder="1"/>
    <xf numFmtId="0" fontId="0" fillId="0" borderId="0" xfId="0" applyFill="1"/>
    <xf numFmtId="49" fontId="1" fillId="0" borderId="1" xfId="0" applyNumberFormat="1" applyFont="1" applyBorder="1" applyAlignment="1">
      <alignment horizontal="center"/>
    </xf>
    <xf numFmtId="49" fontId="1" fillId="0" borderId="0" xfId="0" applyNumberFormat="1" applyFont="1" applyBorder="1" applyAlignment="1">
      <alignment horizontal="center"/>
    </xf>
    <xf numFmtId="0" fontId="2" fillId="0" borderId="0" xfId="0" applyFont="1" applyAlignment="1">
      <alignment horizontal="center"/>
    </xf>
  </cellXfs>
  <cellStyles count="1">
    <cellStyle name="Normal" xfId="0" builtinId="0"/>
  </cellStyles>
  <dxfs count="9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quot;$&quot;* #,##0_);_(&quot;$&quot;* \(#,##0\);_(&quot;$&quot;* &quot;-&quot;??_);_(@_)"/>
    </dxf>
    <dxf>
      <alignment horizontal="center"/>
    </dxf>
    <dxf>
      <alignment horizontal="center"/>
    </dxf>
    <dxf>
      <alignment horizontal="center"/>
    </dxf>
    <dxf>
      <alignment horizontal="center"/>
    </dxf>
    <dxf>
      <alignment horizontal="center"/>
    </dxf>
    <dxf>
      <alignment horizontal="center"/>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2"/>
        <color theme="0"/>
        <name val="Calibri"/>
        <family val="2"/>
        <scheme val="minor"/>
      </font>
      <numFmt numFmtId="30" formatCode="@"/>
      <alignment horizontal="center" vertical="bottom" textRotation="0" wrapText="0" indent="0" justifyLastLine="0" shrinkToFit="0" readingOrder="0"/>
    </dxf>
  </dxfs>
  <tableStyles count="0" defaultTableStyle="TableStyleMedium9" defaultPivotStyle="PivotStyleLight16"/>
  <colors>
    <mruColors>
      <color rgb="FF171C31"/>
      <color rgb="FF1C6B97"/>
      <color rgb="FF00FFED"/>
      <color rgb="FF0554F2"/>
      <color rgb="FFAD04FB"/>
      <color rgb="FFBE2AB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microsoft.com/office/2007/relationships/slicerCache" Target="slicerCaches/slicerCache7.xml"/><Relationship Id="rId23" Type="http://schemas.openxmlformats.org/officeDocument/2006/relationships/sharedStrings" Target="sharedString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table'!$D$4:$D$14</c:f>
              <c:strCache>
                <c:ptCount val="10"/>
                <c:pt idx="0">
                  <c:v>بيجو</c:v>
                </c:pt>
                <c:pt idx="1">
                  <c:v>تويوتا</c:v>
                </c:pt>
                <c:pt idx="2">
                  <c:v>رينو</c:v>
                </c:pt>
                <c:pt idx="3">
                  <c:v>سكودا</c:v>
                </c:pt>
                <c:pt idx="4">
                  <c:v>شيفروليه</c:v>
                </c:pt>
                <c:pt idx="5">
                  <c:v>فولكس فاجن</c:v>
                </c:pt>
                <c:pt idx="6">
                  <c:v>كيا</c:v>
                </c:pt>
                <c:pt idx="7">
                  <c:v>مرسيدس</c:v>
                </c:pt>
                <c:pt idx="8">
                  <c:v>نيسان</c:v>
                </c:pt>
                <c:pt idx="9">
                  <c:v>هيونداي</c:v>
                </c:pt>
              </c:strCache>
            </c:strRef>
          </c:cat>
          <c:val>
            <c:numRef>
              <c:f>'pivot table'!$E$4:$E$14</c:f>
              <c:numCache>
                <c:formatCode>General</c:formatCode>
                <c:ptCount val="10"/>
                <c:pt idx="0">
                  <c:v>38133727</c:v>
                </c:pt>
                <c:pt idx="1">
                  <c:v>26097422</c:v>
                </c:pt>
                <c:pt idx="2">
                  <c:v>19063690</c:v>
                </c:pt>
                <c:pt idx="3">
                  <c:v>38004456</c:v>
                </c:pt>
                <c:pt idx="4">
                  <c:v>29067731</c:v>
                </c:pt>
                <c:pt idx="5">
                  <c:v>29657000</c:v>
                </c:pt>
                <c:pt idx="6">
                  <c:v>44794905</c:v>
                </c:pt>
                <c:pt idx="7">
                  <c:v>32158749</c:v>
                </c:pt>
                <c:pt idx="8">
                  <c:v>46321733</c:v>
                </c:pt>
                <c:pt idx="9">
                  <c:v>35046980</c:v>
                </c:pt>
              </c:numCache>
            </c:numRef>
          </c:val>
          <c:extLst>
            <c:ext xmlns:c16="http://schemas.microsoft.com/office/drawing/2014/chart" uri="{C3380CC4-5D6E-409C-BE32-E72D297353CC}">
              <c16:uniqueId val="{00000000-A9FC-4309-888A-AB938D3C60E6}"/>
            </c:ext>
          </c:extLst>
        </c:ser>
        <c:dLbls>
          <c:dLblPos val="outEnd"/>
          <c:showLegendKey val="0"/>
          <c:showVal val="1"/>
          <c:showCatName val="0"/>
          <c:showSerName val="0"/>
          <c:showPercent val="0"/>
          <c:showBubbleSize val="0"/>
        </c:dLbls>
        <c:gapWidth val="219"/>
        <c:overlap val="-27"/>
        <c:axId val="1086750192"/>
        <c:axId val="1086750672"/>
      </c:barChart>
      <c:catAx>
        <c:axId val="10867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50672"/>
        <c:crosses val="autoZero"/>
        <c:auto val="1"/>
        <c:lblAlgn val="ctr"/>
        <c:lblOffset val="100"/>
        <c:noMultiLvlLbl val="0"/>
      </c:catAx>
      <c:valAx>
        <c:axId val="108675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5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إبراهيم خالد</c:v>
                </c:pt>
                <c:pt idx="1">
                  <c:v>أحمد محمد</c:v>
                </c:pt>
                <c:pt idx="2">
                  <c:v>حسن أحمد</c:v>
                </c:pt>
                <c:pt idx="3">
                  <c:v>خالد يوسف</c:v>
                </c:pt>
                <c:pt idx="4">
                  <c:v>طارق سامي</c:v>
                </c:pt>
                <c:pt idx="5">
                  <c:v>عبدالله عمر</c:v>
                </c:pt>
                <c:pt idx="6">
                  <c:v>علي إبراهيم</c:v>
                </c:pt>
                <c:pt idx="7">
                  <c:v>محمد علي</c:v>
                </c:pt>
                <c:pt idx="8">
                  <c:v>محمود حسن</c:v>
                </c:pt>
                <c:pt idx="9">
                  <c:v>يوسف محمود</c:v>
                </c:pt>
              </c:strCache>
            </c:strRef>
          </c:cat>
          <c:val>
            <c:numRef>
              <c:f>'pivot table'!$H$4:$H$14</c:f>
              <c:numCache>
                <c:formatCode>General</c:formatCode>
                <c:ptCount val="10"/>
                <c:pt idx="0">
                  <c:v>25541940</c:v>
                </c:pt>
                <c:pt idx="1">
                  <c:v>30974243</c:v>
                </c:pt>
                <c:pt idx="2">
                  <c:v>34447719</c:v>
                </c:pt>
                <c:pt idx="3">
                  <c:v>42200341</c:v>
                </c:pt>
                <c:pt idx="4">
                  <c:v>28040150</c:v>
                </c:pt>
                <c:pt idx="5">
                  <c:v>43211734</c:v>
                </c:pt>
                <c:pt idx="6">
                  <c:v>38190151</c:v>
                </c:pt>
                <c:pt idx="7">
                  <c:v>28959993</c:v>
                </c:pt>
                <c:pt idx="8">
                  <c:v>36199268</c:v>
                </c:pt>
                <c:pt idx="9">
                  <c:v>30580854</c:v>
                </c:pt>
              </c:numCache>
            </c:numRef>
          </c:val>
          <c:extLst>
            <c:ext xmlns:c16="http://schemas.microsoft.com/office/drawing/2014/chart" uri="{C3380CC4-5D6E-409C-BE32-E72D297353CC}">
              <c16:uniqueId val="{00000000-8102-4049-A4FD-A34B4CE86FBA}"/>
            </c:ext>
          </c:extLst>
        </c:ser>
        <c:dLbls>
          <c:dLblPos val="outEnd"/>
          <c:showLegendKey val="0"/>
          <c:showVal val="1"/>
          <c:showCatName val="0"/>
          <c:showSerName val="0"/>
          <c:showPercent val="0"/>
          <c:showBubbleSize val="0"/>
        </c:dLbls>
        <c:gapWidth val="219"/>
        <c:overlap val="-27"/>
        <c:axId val="1228196608"/>
        <c:axId val="1228197568"/>
      </c:barChart>
      <c:catAx>
        <c:axId val="12281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7568"/>
        <c:crosses val="autoZero"/>
        <c:auto val="1"/>
        <c:lblAlgn val="ctr"/>
        <c:lblOffset val="100"/>
        <c:noMultiLvlLbl val="0"/>
      </c:catAx>
      <c:valAx>
        <c:axId val="122819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Number of sales transactions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إبراهيم خالد</c:v>
                </c:pt>
                <c:pt idx="1">
                  <c:v>أحمد محمد</c:v>
                </c:pt>
                <c:pt idx="2">
                  <c:v>حسن أحمد</c:v>
                </c:pt>
                <c:pt idx="3">
                  <c:v>خالد يوسف</c:v>
                </c:pt>
                <c:pt idx="4">
                  <c:v>طارق سامي</c:v>
                </c:pt>
                <c:pt idx="5">
                  <c:v>عبدالله عمر</c:v>
                </c:pt>
                <c:pt idx="6">
                  <c:v>علي إبراهيم</c:v>
                </c:pt>
                <c:pt idx="7">
                  <c:v>محمد علي</c:v>
                </c:pt>
                <c:pt idx="8">
                  <c:v>محمود حسن</c:v>
                </c:pt>
                <c:pt idx="9">
                  <c:v>يوسف محمود</c:v>
                </c:pt>
              </c:strCache>
            </c:strRef>
          </c:cat>
          <c:val>
            <c:numRef>
              <c:f>'pivot table'!$O$4:$O$14</c:f>
              <c:numCache>
                <c:formatCode>General</c:formatCode>
                <c:ptCount val="10"/>
                <c:pt idx="0">
                  <c:v>22</c:v>
                </c:pt>
                <c:pt idx="1">
                  <c:v>29</c:v>
                </c:pt>
                <c:pt idx="2">
                  <c:v>32</c:v>
                </c:pt>
                <c:pt idx="3">
                  <c:v>35</c:v>
                </c:pt>
                <c:pt idx="4">
                  <c:v>27</c:v>
                </c:pt>
                <c:pt idx="5">
                  <c:v>35</c:v>
                </c:pt>
                <c:pt idx="6">
                  <c:v>33</c:v>
                </c:pt>
                <c:pt idx="7">
                  <c:v>28</c:v>
                </c:pt>
                <c:pt idx="8">
                  <c:v>30</c:v>
                </c:pt>
                <c:pt idx="9">
                  <c:v>29</c:v>
                </c:pt>
              </c:numCache>
            </c:numRef>
          </c:val>
          <c:extLst>
            <c:ext xmlns:c16="http://schemas.microsoft.com/office/drawing/2014/chart" uri="{C3380CC4-5D6E-409C-BE32-E72D297353CC}">
              <c16:uniqueId val="{00000000-A8A5-4301-8F78-2CC8CD3E1957}"/>
            </c:ext>
          </c:extLst>
        </c:ser>
        <c:dLbls>
          <c:dLblPos val="outEnd"/>
          <c:showLegendKey val="0"/>
          <c:showVal val="1"/>
          <c:showCatName val="0"/>
          <c:showSerName val="0"/>
          <c:showPercent val="0"/>
          <c:showBubbleSize val="0"/>
        </c:dLbls>
        <c:gapWidth val="182"/>
        <c:axId val="1098844256"/>
        <c:axId val="1098844736"/>
      </c:barChart>
      <c:catAx>
        <c:axId val="109884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44736"/>
        <c:crosses val="autoZero"/>
        <c:auto val="1"/>
        <c:lblAlgn val="ctr"/>
        <c:lblOffset val="100"/>
        <c:noMultiLvlLbl val="0"/>
      </c:catAx>
      <c:valAx>
        <c:axId val="109884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4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Number of cars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2.40586176727909E-2"/>
              <c:y val="-2.0185914260717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99251968503937"/>
              <c:y val="1.3251312335958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1.2327974628171479E-2"/>
              <c:y val="1.3717191601049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3.6957130358705161E-2"/>
              <c:y val="-3.5956182560513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2.783705161854768E-2"/>
              <c:y val="4.1228127734033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9251968503937"/>
              <c:y val="1.3251312335958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2327974628171479E-2"/>
              <c:y val="1.3717191601049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6957130358705161E-2"/>
              <c:y val="-3.5956182560513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783705161854768E-2"/>
              <c:y val="4.1228127734033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40586176727909E-2"/>
              <c:y val="-2.0185914260717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99251968503937"/>
              <c:y val="1.3251312335958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8157442997350358E-2"/>
              <c:y val="2.7169944564104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0132477516139866E-2"/>
              <c:y val="9.8572790508809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2339440982199544E-2"/>
              <c:y val="5.916528371173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225771541590477"/>
              <c:y val="-2.4670385932700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CF-48D8-AD74-3C90C213DD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CF-48D8-AD74-3C90C213DD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CF-48D8-AD74-3C90C213DD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CF-48D8-AD74-3C90C213DD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CF-48D8-AD74-3C90C213DD4E}"/>
              </c:ext>
            </c:extLst>
          </c:dPt>
          <c:dLbls>
            <c:dLbl>
              <c:idx val="0"/>
              <c:layout>
                <c:manualLayout>
                  <c:x val="0.1099251968503937"/>
                  <c:y val="1.3251312335958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CF-48D8-AD74-3C90C213DD4E}"/>
                </c:ext>
              </c:extLst>
            </c:dLbl>
            <c:dLbl>
              <c:idx val="1"/>
              <c:layout>
                <c:manualLayout>
                  <c:x val="8.8157442997350358E-2"/>
                  <c:y val="2.71699445641043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CF-48D8-AD74-3C90C213DD4E}"/>
                </c:ext>
              </c:extLst>
            </c:dLbl>
            <c:dLbl>
              <c:idx val="2"/>
              <c:layout>
                <c:manualLayout>
                  <c:x val="7.0132477516139866E-2"/>
                  <c:y val="9.8572790508809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CF-48D8-AD74-3C90C213DD4E}"/>
                </c:ext>
              </c:extLst>
            </c:dLbl>
            <c:dLbl>
              <c:idx val="3"/>
              <c:layout>
                <c:manualLayout>
                  <c:x val="-8.2339440982199544E-2"/>
                  <c:y val="5.91652837117333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CF-48D8-AD74-3C90C213DD4E}"/>
                </c:ext>
              </c:extLst>
            </c:dLbl>
            <c:dLbl>
              <c:idx val="4"/>
              <c:layout>
                <c:manualLayout>
                  <c:x val="-0.10225771541590477"/>
                  <c:y val="-2.4670385932700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CF-48D8-AD74-3C90C213DD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table'!$Q$4:$Q$9</c:f>
              <c:strCache>
                <c:ptCount val="5"/>
                <c:pt idx="0">
                  <c:v>SUV</c:v>
                </c:pt>
                <c:pt idx="1">
                  <c:v>بيك اب</c:v>
                </c:pt>
                <c:pt idx="2">
                  <c:v>سيدان</c:v>
                </c:pt>
                <c:pt idx="3">
                  <c:v>كروس اوفر</c:v>
                </c:pt>
                <c:pt idx="4">
                  <c:v>هاتشباك</c:v>
                </c:pt>
              </c:strCache>
            </c:strRef>
          </c:cat>
          <c:val>
            <c:numRef>
              <c:f>'pivot table'!$R$4:$R$9</c:f>
              <c:numCache>
                <c:formatCode>General</c:formatCode>
                <c:ptCount val="5"/>
                <c:pt idx="0">
                  <c:v>57</c:v>
                </c:pt>
                <c:pt idx="1">
                  <c:v>43</c:v>
                </c:pt>
                <c:pt idx="2">
                  <c:v>66</c:v>
                </c:pt>
                <c:pt idx="3">
                  <c:v>62</c:v>
                </c:pt>
                <c:pt idx="4">
                  <c:v>72</c:v>
                </c:pt>
              </c:numCache>
            </c:numRef>
          </c:val>
          <c:extLst>
            <c:ext xmlns:c16="http://schemas.microsoft.com/office/drawing/2014/chart" uri="{C3380CC4-5D6E-409C-BE32-E72D297353CC}">
              <c16:uniqueId val="{0000000A-D7CF-48D8-AD74-3C90C213DD4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table!ه</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table'!$Y$3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table'!$X$4:$X$14</c:f>
              <c:strCache>
                <c:ptCount val="10"/>
                <c:pt idx="0">
                  <c:v>2023-01-22</c:v>
                </c:pt>
                <c:pt idx="1">
                  <c:v>2023-05-07</c:v>
                </c:pt>
                <c:pt idx="2">
                  <c:v>2023-10-28</c:v>
                </c:pt>
                <c:pt idx="3">
                  <c:v>2023-12-20</c:v>
                </c:pt>
                <c:pt idx="4">
                  <c:v>2024-01-20</c:v>
                </c:pt>
                <c:pt idx="5">
                  <c:v>2024-01-27</c:v>
                </c:pt>
                <c:pt idx="6">
                  <c:v>2024-03-24</c:v>
                </c:pt>
                <c:pt idx="7">
                  <c:v>2024-07-02</c:v>
                </c:pt>
                <c:pt idx="8">
                  <c:v>2024-07-11</c:v>
                </c:pt>
                <c:pt idx="9">
                  <c:v>2024-11-12</c:v>
                </c:pt>
              </c:strCache>
            </c:strRef>
          </c:cat>
          <c:val>
            <c:numRef>
              <c:f>'pivot table'!$Y$4:$Y$14</c:f>
              <c:numCache>
                <c:formatCode>General</c:formatCode>
                <c:ptCount val="10"/>
                <c:pt idx="0">
                  <c:v>3256186</c:v>
                </c:pt>
                <c:pt idx="1">
                  <c:v>2828602</c:v>
                </c:pt>
                <c:pt idx="2">
                  <c:v>2969926</c:v>
                </c:pt>
                <c:pt idx="3">
                  <c:v>2857461</c:v>
                </c:pt>
                <c:pt idx="4">
                  <c:v>2783188</c:v>
                </c:pt>
                <c:pt idx="5">
                  <c:v>3936065</c:v>
                </c:pt>
                <c:pt idx="6">
                  <c:v>3992425</c:v>
                </c:pt>
                <c:pt idx="7">
                  <c:v>4296854</c:v>
                </c:pt>
                <c:pt idx="8">
                  <c:v>3013496</c:v>
                </c:pt>
                <c:pt idx="9">
                  <c:v>3815826</c:v>
                </c:pt>
              </c:numCache>
            </c:numRef>
          </c:val>
          <c:smooth val="0"/>
          <c:extLst>
            <c:ext xmlns:c16="http://schemas.microsoft.com/office/drawing/2014/chart" uri="{C3380CC4-5D6E-409C-BE32-E72D297353CC}">
              <c16:uniqueId val="{00000000-F566-444C-85E3-88ED80A59AB4}"/>
            </c:ext>
          </c:extLst>
        </c:ser>
        <c:dLbls>
          <c:dLblPos val="t"/>
          <c:showLegendKey val="0"/>
          <c:showVal val="1"/>
          <c:showCatName val="0"/>
          <c:showSerName val="0"/>
          <c:showPercent val="0"/>
          <c:showBubbleSize val="0"/>
        </c:dLbls>
        <c:smooth val="0"/>
        <c:axId val="1228200928"/>
        <c:axId val="1228197088"/>
      </c:lineChart>
      <c:catAx>
        <c:axId val="1228200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7088"/>
        <c:crosses val="autoZero"/>
        <c:auto val="1"/>
        <c:lblAlgn val="ctr"/>
        <c:lblOffset val="100"/>
        <c:noMultiLvlLbl val="0"/>
      </c:catAx>
      <c:valAx>
        <c:axId val="1228197088"/>
        <c:scaling>
          <c:orientation val="minMax"/>
        </c:scaling>
        <c:delete val="1"/>
        <c:axPos val="l"/>
        <c:numFmt formatCode="General" sourceLinked="1"/>
        <c:majorTickMark val="none"/>
        <c:minorTickMark val="none"/>
        <c:tickLblPos val="nextTo"/>
        <c:crossAx val="122820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table!PivotTable16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table'!$AA$4:$AA$9</c:f>
              <c:strCache>
                <c:ptCount val="5"/>
                <c:pt idx="0">
                  <c:v>سارة</c:v>
                </c:pt>
                <c:pt idx="1">
                  <c:v>كريم</c:v>
                </c:pt>
                <c:pt idx="2">
                  <c:v>مصطفى</c:v>
                </c:pt>
                <c:pt idx="3">
                  <c:v>مينا</c:v>
                </c:pt>
                <c:pt idx="4">
                  <c:v>نور</c:v>
                </c:pt>
              </c:strCache>
            </c:strRef>
          </c:cat>
          <c:val>
            <c:numRef>
              <c:f>'pivot table'!$AB$4:$AB$9</c:f>
              <c:numCache>
                <c:formatCode>General</c:formatCode>
                <c:ptCount val="5"/>
                <c:pt idx="0">
                  <c:v>71451080</c:v>
                </c:pt>
                <c:pt idx="1">
                  <c:v>54872045</c:v>
                </c:pt>
                <c:pt idx="2">
                  <c:v>70066385</c:v>
                </c:pt>
                <c:pt idx="3">
                  <c:v>62881431</c:v>
                </c:pt>
                <c:pt idx="4">
                  <c:v>79075452</c:v>
                </c:pt>
              </c:numCache>
            </c:numRef>
          </c:val>
          <c:extLst>
            <c:ext xmlns:c16="http://schemas.microsoft.com/office/drawing/2014/chart" uri="{C3380CC4-5D6E-409C-BE32-E72D297353CC}">
              <c16:uniqueId val="{00000000-652E-4933-90A0-95CD289EB4D2}"/>
            </c:ext>
          </c:extLst>
        </c:ser>
        <c:dLbls>
          <c:dLblPos val="outEnd"/>
          <c:showLegendKey val="0"/>
          <c:showVal val="1"/>
          <c:showCatName val="0"/>
          <c:showSerName val="0"/>
          <c:showPercent val="0"/>
          <c:showBubbleSize val="0"/>
        </c:dLbls>
        <c:gapWidth val="182"/>
        <c:axId val="1228936576"/>
        <c:axId val="1228934656"/>
      </c:barChart>
      <c:catAx>
        <c:axId val="122893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34656"/>
        <c:crosses val="autoZero"/>
        <c:auto val="1"/>
        <c:lblAlgn val="ctr"/>
        <c:lblOffset val="100"/>
        <c:noMultiLvlLbl val="0"/>
      </c:catAx>
      <c:valAx>
        <c:axId val="1228934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3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sales.xlsx]pivot table!PivotTable18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666666666666666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666666666666656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8.8888888888888892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0277777777777777"/>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999999999999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66666666666666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66666666666656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8888888888888892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277777777777777"/>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666666666666666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666666666666656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8888888888888892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277777777777777"/>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3B-4BC5-92C8-40AC964B82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3B-4BC5-92C8-40AC964B82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3B-4BC5-92C8-40AC964B82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3B-4BC5-92C8-40AC964B82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3B-4BC5-92C8-40AC964B82D0}"/>
              </c:ext>
            </c:extLst>
          </c:dPt>
          <c:dLbls>
            <c:dLbl>
              <c:idx val="0"/>
              <c:layout>
                <c:manualLayout>
                  <c:x val="7.49999999999999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3B-4BC5-92C8-40AC964B82D0}"/>
                </c:ext>
              </c:extLst>
            </c:dLbl>
            <c:dLbl>
              <c:idx val="1"/>
              <c:layout>
                <c:manualLayout>
                  <c:x val="6.6666666666666666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3B-4BC5-92C8-40AC964B82D0}"/>
                </c:ext>
              </c:extLst>
            </c:dLbl>
            <c:dLbl>
              <c:idx val="2"/>
              <c:layout>
                <c:manualLayout>
                  <c:x val="6.6666666666666569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3B-4BC5-92C8-40AC964B82D0}"/>
                </c:ext>
              </c:extLst>
            </c:dLbl>
            <c:dLbl>
              <c:idx val="3"/>
              <c:layout>
                <c:manualLayout>
                  <c:x val="-8.8888888888888892E-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3B-4BC5-92C8-40AC964B82D0}"/>
                </c:ext>
              </c:extLst>
            </c:dLbl>
            <c:dLbl>
              <c:idx val="4"/>
              <c:layout>
                <c:manualLayout>
                  <c:x val="-0.10277777777777777"/>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33B-4BC5-92C8-40AC964B82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table'!$AG$4:$AG$9</c:f>
              <c:strCache>
                <c:ptCount val="5"/>
                <c:pt idx="0">
                  <c:v>سارة</c:v>
                </c:pt>
                <c:pt idx="1">
                  <c:v>كريم</c:v>
                </c:pt>
                <c:pt idx="2">
                  <c:v>مصطفى</c:v>
                </c:pt>
                <c:pt idx="3">
                  <c:v>مينا</c:v>
                </c:pt>
                <c:pt idx="4">
                  <c:v>نور</c:v>
                </c:pt>
              </c:strCache>
            </c:strRef>
          </c:cat>
          <c:val>
            <c:numRef>
              <c:f>'pivot table'!$AH$4:$AH$9</c:f>
              <c:numCache>
                <c:formatCode>General</c:formatCode>
                <c:ptCount val="5"/>
                <c:pt idx="0">
                  <c:v>433</c:v>
                </c:pt>
                <c:pt idx="1">
                  <c:v>336</c:v>
                </c:pt>
                <c:pt idx="2">
                  <c:v>406</c:v>
                </c:pt>
                <c:pt idx="3">
                  <c:v>398</c:v>
                </c:pt>
                <c:pt idx="4">
                  <c:v>482</c:v>
                </c:pt>
              </c:numCache>
            </c:numRef>
          </c:val>
          <c:extLst>
            <c:ext xmlns:c16="http://schemas.microsoft.com/office/drawing/2014/chart" uri="{C3380CC4-5D6E-409C-BE32-E72D297353CC}">
              <c16:uniqueId val="{0000000A-C33B-4BC5-92C8-40AC964B82D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0</xdr:rowOff>
    </xdr:from>
    <xdr:to>
      <xdr:col>15</xdr:col>
      <xdr:colOff>374650</xdr:colOff>
      <xdr:row>16</xdr:row>
      <xdr:rowOff>9525</xdr:rowOff>
    </xdr:to>
    <xdr:graphicFrame macro="">
      <xdr:nvGraphicFramePr>
        <xdr:cNvPr id="2" name="Chart 1">
          <a:extLst>
            <a:ext uri="{FF2B5EF4-FFF2-40B4-BE49-F238E27FC236}">
              <a16:creationId xmlns:a16="http://schemas.microsoft.com/office/drawing/2014/main" id="{EB6E677F-B244-4F6B-A667-77CD595B5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368300</xdr:colOff>
      <xdr:row>0</xdr:row>
      <xdr:rowOff>0</xdr:rowOff>
    </xdr:from>
    <xdr:to>
      <xdr:col>25</xdr:col>
      <xdr:colOff>165100</xdr:colOff>
      <xdr:row>16</xdr:row>
      <xdr:rowOff>0</xdr:rowOff>
    </xdr:to>
    <xdr:graphicFrame macro="">
      <xdr:nvGraphicFramePr>
        <xdr:cNvPr id="3" name="Chart 2">
          <a:extLst>
            <a:ext uri="{FF2B5EF4-FFF2-40B4-BE49-F238E27FC236}">
              <a16:creationId xmlns:a16="http://schemas.microsoft.com/office/drawing/2014/main" id="{119B0AA5-85E3-4833-811A-33EF39236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460686</xdr:colOff>
      <xdr:row>46</xdr:row>
      <xdr:rowOff>124510</xdr:rowOff>
    </xdr:from>
    <xdr:to>
      <xdr:col>25</xdr:col>
      <xdr:colOff>127997</xdr:colOff>
      <xdr:row>63</xdr:row>
      <xdr:rowOff>99608</xdr:rowOff>
    </xdr:to>
    <xdr:graphicFrame macro="">
      <xdr:nvGraphicFramePr>
        <xdr:cNvPr id="4" name="Chart 3">
          <a:extLst>
            <a:ext uri="{FF2B5EF4-FFF2-40B4-BE49-F238E27FC236}">
              <a16:creationId xmlns:a16="http://schemas.microsoft.com/office/drawing/2014/main" id="{970FC028-EC00-4BE6-A840-20CBC4713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139700</xdr:colOff>
      <xdr:row>30</xdr:row>
      <xdr:rowOff>165100</xdr:rowOff>
    </xdr:from>
    <xdr:to>
      <xdr:col>25</xdr:col>
      <xdr:colOff>152400</xdr:colOff>
      <xdr:row>46</xdr:row>
      <xdr:rowOff>177800</xdr:rowOff>
    </xdr:to>
    <xdr:graphicFrame macro="">
      <xdr:nvGraphicFramePr>
        <xdr:cNvPr id="5" name="Chart 4">
          <a:extLst>
            <a:ext uri="{FF2B5EF4-FFF2-40B4-BE49-F238E27FC236}">
              <a16:creationId xmlns:a16="http://schemas.microsoft.com/office/drawing/2014/main" id="{1D845E02-9B5D-401F-A5B7-42D3592FD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558800</xdr:colOff>
      <xdr:row>16</xdr:row>
      <xdr:rowOff>0</xdr:rowOff>
    </xdr:from>
    <xdr:to>
      <xdr:col>25</xdr:col>
      <xdr:colOff>149412</xdr:colOff>
      <xdr:row>30</xdr:row>
      <xdr:rowOff>165100</xdr:rowOff>
    </xdr:to>
    <xdr:graphicFrame macro="">
      <xdr:nvGraphicFramePr>
        <xdr:cNvPr id="6" name="Chart 5">
          <a:extLst>
            <a:ext uri="{FF2B5EF4-FFF2-40B4-BE49-F238E27FC236}">
              <a16:creationId xmlns:a16="http://schemas.microsoft.com/office/drawing/2014/main" id="{5924C93F-78EB-4E04-BDAC-F46DE20AA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546100</xdr:colOff>
      <xdr:row>30</xdr:row>
      <xdr:rowOff>127000</xdr:rowOff>
    </xdr:from>
    <xdr:to>
      <xdr:col>16</xdr:col>
      <xdr:colOff>177800</xdr:colOff>
      <xdr:row>46</xdr:row>
      <xdr:rowOff>177800</xdr:rowOff>
    </xdr:to>
    <xdr:graphicFrame macro="">
      <xdr:nvGraphicFramePr>
        <xdr:cNvPr id="7" name="Chart 6">
          <a:extLst>
            <a:ext uri="{FF2B5EF4-FFF2-40B4-BE49-F238E27FC236}">
              <a16:creationId xmlns:a16="http://schemas.microsoft.com/office/drawing/2014/main" id="{3DA7CF79-9ED0-4ECE-AAA5-607AC00A5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3</xdr:col>
      <xdr:colOff>0</xdr:colOff>
      <xdr:row>13</xdr:row>
      <xdr:rowOff>47625</xdr:rowOff>
    </xdr:to>
    <mc:AlternateContent xmlns:mc="http://schemas.openxmlformats.org/markup-compatibility/2006" xmlns:a14="http://schemas.microsoft.com/office/drawing/2010/main">
      <mc:Choice Requires="a14">
        <xdr:graphicFrame macro="">
          <xdr:nvGraphicFramePr>
            <xdr:cNvPr id="8" name="تاريخ البيع">
              <a:extLst>
                <a:ext uri="{FF2B5EF4-FFF2-40B4-BE49-F238E27FC236}">
                  <a16:creationId xmlns:a16="http://schemas.microsoft.com/office/drawing/2014/main" id="{133166FB-9D2E-4BBF-8301-3801ECFDD6F8}"/>
                </a:ext>
              </a:extLst>
            </xdr:cNvPr>
            <xdr:cNvGraphicFramePr/>
          </xdr:nvGraphicFramePr>
          <xdr:xfrm>
            <a:off x="0" y="0"/>
            <a:ext cx="0" cy="0"/>
          </xdr:xfrm>
          <a:graphic>
            <a:graphicData uri="http://schemas.microsoft.com/office/drawing/2010/slicer">
              <sle:slicer xmlns:sle="http://schemas.microsoft.com/office/drawing/2010/slicer" name="تاريخ البيع"/>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603250</xdr:colOff>
      <xdr:row>0</xdr:row>
      <xdr:rowOff>0</xdr:rowOff>
    </xdr:from>
    <xdr:to>
      <xdr:col>6</xdr:col>
      <xdr:colOff>0</xdr:colOff>
      <xdr:row>13</xdr:row>
      <xdr:rowOff>47625</xdr:rowOff>
    </xdr:to>
    <mc:AlternateContent xmlns:mc="http://schemas.openxmlformats.org/markup-compatibility/2006" xmlns:a14="http://schemas.microsoft.com/office/drawing/2010/main">
      <mc:Choice Requires="a14">
        <xdr:graphicFrame macro="">
          <xdr:nvGraphicFramePr>
            <xdr:cNvPr id="9" name="اسم العميل">
              <a:extLst>
                <a:ext uri="{FF2B5EF4-FFF2-40B4-BE49-F238E27FC236}">
                  <a16:creationId xmlns:a16="http://schemas.microsoft.com/office/drawing/2014/main" id="{0DAAA439-AE73-47FA-B47A-1CA26710BCB3}"/>
                </a:ext>
              </a:extLst>
            </xdr:cNvPr>
            <xdr:cNvGraphicFramePr/>
          </xdr:nvGraphicFramePr>
          <xdr:xfrm>
            <a:off x="0" y="0"/>
            <a:ext cx="0" cy="0"/>
          </xdr:xfrm>
          <a:graphic>
            <a:graphicData uri="http://schemas.microsoft.com/office/drawing/2010/slicer">
              <sle:slicer xmlns:sle="http://schemas.microsoft.com/office/drawing/2010/slicer" name="اسم العميل"/>
            </a:graphicData>
          </a:graphic>
        </xdr:graphicFrame>
      </mc:Choice>
      <mc:Fallback xmlns="">
        <xdr:sp macro="" textlink="">
          <xdr:nvSpPr>
            <xdr:cNvPr id="0" name=""/>
            <xdr:cNvSpPr>
              <a:spLocks noTextEdit="1"/>
            </xdr:cNvSpPr>
          </xdr:nvSpPr>
          <xdr:spPr>
            <a:xfrm>
              <a:off x="18224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63501</xdr:rowOff>
    </xdr:from>
    <xdr:to>
      <xdr:col>3</xdr:col>
      <xdr:colOff>0</xdr:colOff>
      <xdr:row>22</xdr:row>
      <xdr:rowOff>76201</xdr:rowOff>
    </xdr:to>
    <mc:AlternateContent xmlns:mc="http://schemas.openxmlformats.org/markup-compatibility/2006" xmlns:a14="http://schemas.microsoft.com/office/drawing/2010/main">
      <mc:Choice Requires="a14">
        <xdr:graphicFrame macro="">
          <xdr:nvGraphicFramePr>
            <xdr:cNvPr id="10" name="نوع السيارة">
              <a:extLst>
                <a:ext uri="{FF2B5EF4-FFF2-40B4-BE49-F238E27FC236}">
                  <a16:creationId xmlns:a16="http://schemas.microsoft.com/office/drawing/2014/main" id="{B68DC6EF-A24E-4855-8B3B-8289D251A38F}"/>
                </a:ext>
              </a:extLst>
            </xdr:cNvPr>
            <xdr:cNvGraphicFramePr/>
          </xdr:nvGraphicFramePr>
          <xdr:xfrm>
            <a:off x="0" y="0"/>
            <a:ext cx="0" cy="0"/>
          </xdr:xfrm>
          <a:graphic>
            <a:graphicData uri="http://schemas.microsoft.com/office/drawing/2010/slicer">
              <sle:slicer xmlns:sle="http://schemas.microsoft.com/office/drawing/2010/slicer" name="نوع السيارة"/>
            </a:graphicData>
          </a:graphic>
        </xdr:graphicFrame>
      </mc:Choice>
      <mc:Fallback xmlns="">
        <xdr:sp macro="" textlink="">
          <xdr:nvSpPr>
            <xdr:cNvPr id="0" name=""/>
            <xdr:cNvSpPr>
              <a:spLocks noTextEdit="1"/>
            </xdr:cNvSpPr>
          </xdr:nvSpPr>
          <xdr:spPr>
            <a:xfrm>
              <a:off x="0" y="2540001"/>
              <a:ext cx="182880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603250</xdr:colOff>
      <xdr:row>13</xdr:row>
      <xdr:rowOff>38101</xdr:rowOff>
    </xdr:from>
    <xdr:to>
      <xdr:col>6</xdr:col>
      <xdr:colOff>0</xdr:colOff>
      <xdr:row>25</xdr:row>
      <xdr:rowOff>101601</xdr:rowOff>
    </xdr:to>
    <mc:AlternateContent xmlns:mc="http://schemas.openxmlformats.org/markup-compatibility/2006" xmlns:a14="http://schemas.microsoft.com/office/drawing/2010/main">
      <mc:Choice Requires="a14">
        <xdr:graphicFrame macro="">
          <xdr:nvGraphicFramePr>
            <xdr:cNvPr id="11" name="الماركة">
              <a:extLst>
                <a:ext uri="{FF2B5EF4-FFF2-40B4-BE49-F238E27FC236}">
                  <a16:creationId xmlns:a16="http://schemas.microsoft.com/office/drawing/2014/main" id="{A357545A-8F11-4013-816E-FC6F42A078D6}"/>
                </a:ext>
              </a:extLst>
            </xdr:cNvPr>
            <xdr:cNvGraphicFramePr/>
          </xdr:nvGraphicFramePr>
          <xdr:xfrm>
            <a:off x="0" y="0"/>
            <a:ext cx="0" cy="0"/>
          </xdr:xfrm>
          <a:graphic>
            <a:graphicData uri="http://schemas.microsoft.com/office/drawing/2010/slicer">
              <sle:slicer xmlns:sle="http://schemas.microsoft.com/office/drawing/2010/slicer" name="الماركة"/>
            </a:graphicData>
          </a:graphic>
        </xdr:graphicFrame>
      </mc:Choice>
      <mc:Fallback xmlns="">
        <xdr:sp macro="" textlink="">
          <xdr:nvSpPr>
            <xdr:cNvPr id="0" name=""/>
            <xdr:cNvSpPr>
              <a:spLocks noTextEdit="1"/>
            </xdr:cNvSpPr>
          </xdr:nvSpPr>
          <xdr:spPr>
            <a:xfrm>
              <a:off x="1822450" y="2514601"/>
              <a:ext cx="1828800" cy="234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33</xdr:row>
      <xdr:rowOff>114301</xdr:rowOff>
    </xdr:from>
    <xdr:to>
      <xdr:col>5</xdr:col>
      <xdr:colOff>558800</xdr:colOff>
      <xdr:row>38</xdr:row>
      <xdr:rowOff>38100</xdr:rowOff>
    </xdr:to>
    <mc:AlternateContent xmlns:mc="http://schemas.openxmlformats.org/markup-compatibility/2006" xmlns:a14="http://schemas.microsoft.com/office/drawing/2010/main">
      <mc:Choice Requires="a14">
        <xdr:graphicFrame macro="">
          <xdr:nvGraphicFramePr>
            <xdr:cNvPr id="12" name="الفئه">
              <a:extLst>
                <a:ext uri="{FF2B5EF4-FFF2-40B4-BE49-F238E27FC236}">
                  <a16:creationId xmlns:a16="http://schemas.microsoft.com/office/drawing/2014/main" id="{40187999-4658-4808-B81D-BE7695660E10}"/>
                </a:ext>
              </a:extLst>
            </xdr:cNvPr>
            <xdr:cNvGraphicFramePr/>
          </xdr:nvGraphicFramePr>
          <xdr:xfrm>
            <a:off x="0" y="0"/>
            <a:ext cx="0" cy="0"/>
          </xdr:xfrm>
          <a:graphic>
            <a:graphicData uri="http://schemas.microsoft.com/office/drawing/2010/slicer">
              <sle:slicer xmlns:sle="http://schemas.microsoft.com/office/drawing/2010/slicer" name="الفئه"/>
            </a:graphicData>
          </a:graphic>
        </xdr:graphicFrame>
      </mc:Choice>
      <mc:Fallback xmlns="">
        <xdr:sp macro="" textlink="">
          <xdr:nvSpPr>
            <xdr:cNvPr id="0" name=""/>
            <xdr:cNvSpPr>
              <a:spLocks noTextEdit="1"/>
            </xdr:cNvSpPr>
          </xdr:nvSpPr>
          <xdr:spPr>
            <a:xfrm>
              <a:off x="12700" y="6400801"/>
              <a:ext cx="359410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31751</xdr:rowOff>
    </xdr:from>
    <xdr:to>
      <xdr:col>5</xdr:col>
      <xdr:colOff>571500</xdr:colOff>
      <xdr:row>47</xdr:row>
      <xdr:rowOff>50801</xdr:rowOff>
    </xdr:to>
    <mc:AlternateContent xmlns:mc="http://schemas.openxmlformats.org/markup-compatibility/2006" xmlns:a14="http://schemas.microsoft.com/office/drawing/2010/main">
      <mc:Choice Requires="a14">
        <xdr:graphicFrame macro="">
          <xdr:nvGraphicFramePr>
            <xdr:cNvPr id="13" name="سنة الصنع">
              <a:extLst>
                <a:ext uri="{FF2B5EF4-FFF2-40B4-BE49-F238E27FC236}">
                  <a16:creationId xmlns:a16="http://schemas.microsoft.com/office/drawing/2014/main" id="{F1C68E20-94AB-46AE-9B15-BE5A6738F860}"/>
                </a:ext>
              </a:extLst>
            </xdr:cNvPr>
            <xdr:cNvGraphicFramePr/>
          </xdr:nvGraphicFramePr>
          <xdr:xfrm>
            <a:off x="0" y="0"/>
            <a:ext cx="0" cy="0"/>
          </xdr:xfrm>
          <a:graphic>
            <a:graphicData uri="http://schemas.microsoft.com/office/drawing/2010/slicer">
              <sle:slicer xmlns:sle="http://schemas.microsoft.com/office/drawing/2010/slicer" name="سنة الصنع"/>
            </a:graphicData>
          </a:graphic>
        </xdr:graphicFrame>
      </mc:Choice>
      <mc:Fallback xmlns="">
        <xdr:sp macro="" textlink="">
          <xdr:nvSpPr>
            <xdr:cNvPr id="0" name=""/>
            <xdr:cNvSpPr>
              <a:spLocks noTextEdit="1"/>
            </xdr:cNvSpPr>
          </xdr:nvSpPr>
          <xdr:spPr>
            <a:xfrm>
              <a:off x="0" y="7270751"/>
              <a:ext cx="36195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114301</xdr:rowOff>
    </xdr:from>
    <xdr:to>
      <xdr:col>5</xdr:col>
      <xdr:colOff>571500</xdr:colOff>
      <xdr:row>29</xdr:row>
      <xdr:rowOff>25400</xdr:rowOff>
    </xdr:to>
    <mc:AlternateContent xmlns:mc="http://schemas.openxmlformats.org/markup-compatibility/2006" xmlns:a14="http://schemas.microsoft.com/office/drawing/2010/main">
      <mc:Choice Requires="a14">
        <xdr:graphicFrame macro="">
          <xdr:nvGraphicFramePr>
            <xdr:cNvPr id="14" name="طريقة الدفع">
              <a:extLst>
                <a:ext uri="{FF2B5EF4-FFF2-40B4-BE49-F238E27FC236}">
                  <a16:creationId xmlns:a16="http://schemas.microsoft.com/office/drawing/2014/main" id="{E3717003-B867-4E59-9BE7-78E00710240D}"/>
                </a:ext>
              </a:extLst>
            </xdr:cNvPr>
            <xdr:cNvGraphicFramePr/>
          </xdr:nvGraphicFramePr>
          <xdr:xfrm>
            <a:off x="0" y="0"/>
            <a:ext cx="0" cy="0"/>
          </xdr:xfrm>
          <a:graphic>
            <a:graphicData uri="http://schemas.microsoft.com/office/drawing/2010/slicer">
              <sle:slicer xmlns:sle="http://schemas.microsoft.com/office/drawing/2010/slicer" name="طريقة الدفع"/>
            </a:graphicData>
          </a:graphic>
        </xdr:graphicFrame>
      </mc:Choice>
      <mc:Fallback xmlns="">
        <xdr:sp macro="" textlink="">
          <xdr:nvSpPr>
            <xdr:cNvPr id="0" name=""/>
            <xdr:cNvSpPr>
              <a:spLocks noTextEdit="1"/>
            </xdr:cNvSpPr>
          </xdr:nvSpPr>
          <xdr:spPr>
            <a:xfrm>
              <a:off x="0" y="4876801"/>
              <a:ext cx="3619500" cy="67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19051</xdr:rowOff>
    </xdr:from>
    <xdr:to>
      <xdr:col>3</xdr:col>
      <xdr:colOff>0</xdr:colOff>
      <xdr:row>25</xdr:row>
      <xdr:rowOff>114300</xdr:rowOff>
    </xdr:to>
    <mc:AlternateContent xmlns:mc="http://schemas.openxmlformats.org/markup-compatibility/2006" xmlns:a14="http://schemas.microsoft.com/office/drawing/2010/main">
      <mc:Choice Requires="a14">
        <xdr:graphicFrame macro="">
          <xdr:nvGraphicFramePr>
            <xdr:cNvPr id="15" name="حالة السيارة">
              <a:extLst>
                <a:ext uri="{FF2B5EF4-FFF2-40B4-BE49-F238E27FC236}">
                  <a16:creationId xmlns:a16="http://schemas.microsoft.com/office/drawing/2014/main" id="{D1A33408-C042-4455-9513-2EBA0FB90BCA}"/>
                </a:ext>
              </a:extLst>
            </xdr:cNvPr>
            <xdr:cNvGraphicFramePr/>
          </xdr:nvGraphicFramePr>
          <xdr:xfrm>
            <a:off x="0" y="0"/>
            <a:ext cx="0" cy="0"/>
          </xdr:xfrm>
          <a:graphic>
            <a:graphicData uri="http://schemas.microsoft.com/office/drawing/2010/slicer">
              <sle:slicer xmlns:sle="http://schemas.microsoft.com/office/drawing/2010/slicer" name="حالة السيارة"/>
            </a:graphicData>
          </a:graphic>
        </xdr:graphicFrame>
      </mc:Choice>
      <mc:Fallback xmlns="">
        <xdr:sp macro="" textlink="">
          <xdr:nvSpPr>
            <xdr:cNvPr id="0" name=""/>
            <xdr:cNvSpPr>
              <a:spLocks noTextEdit="1"/>
            </xdr:cNvSpPr>
          </xdr:nvSpPr>
          <xdr:spPr>
            <a:xfrm>
              <a:off x="0" y="4210051"/>
              <a:ext cx="18288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29</xdr:row>
      <xdr:rowOff>38101</xdr:rowOff>
    </xdr:from>
    <xdr:to>
      <xdr:col>5</xdr:col>
      <xdr:colOff>596900</xdr:colOff>
      <xdr:row>33</xdr:row>
      <xdr:rowOff>152400</xdr:rowOff>
    </xdr:to>
    <mc:AlternateContent xmlns:mc="http://schemas.openxmlformats.org/markup-compatibility/2006" xmlns:a14="http://schemas.microsoft.com/office/drawing/2010/main">
      <mc:Choice Requires="a14">
        <xdr:graphicFrame macro="">
          <xdr:nvGraphicFramePr>
            <xdr:cNvPr id="16" name="المندوب">
              <a:extLst>
                <a:ext uri="{FF2B5EF4-FFF2-40B4-BE49-F238E27FC236}">
                  <a16:creationId xmlns:a16="http://schemas.microsoft.com/office/drawing/2014/main" id="{14E52043-A513-4A46-A9C5-CA8ED15DBD43}"/>
                </a:ext>
              </a:extLst>
            </xdr:cNvPr>
            <xdr:cNvGraphicFramePr/>
          </xdr:nvGraphicFramePr>
          <xdr:xfrm>
            <a:off x="0" y="0"/>
            <a:ext cx="0" cy="0"/>
          </xdr:xfrm>
          <a:graphic>
            <a:graphicData uri="http://schemas.microsoft.com/office/drawing/2010/slicer">
              <sle:slicer xmlns:sle="http://schemas.microsoft.com/office/drawing/2010/slicer" name="المندوب"/>
            </a:graphicData>
          </a:graphic>
        </xdr:graphicFrame>
      </mc:Choice>
      <mc:Fallback xmlns="">
        <xdr:sp macro="" textlink="">
          <xdr:nvSpPr>
            <xdr:cNvPr id="0" name=""/>
            <xdr:cNvSpPr>
              <a:spLocks noTextEdit="1"/>
            </xdr:cNvSpPr>
          </xdr:nvSpPr>
          <xdr:spPr>
            <a:xfrm>
              <a:off x="25400" y="5562601"/>
              <a:ext cx="361950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541936</xdr:colOff>
      <xdr:row>47</xdr:row>
      <xdr:rowOff>14767</xdr:rowOff>
    </xdr:from>
    <xdr:to>
      <xdr:col>16</xdr:col>
      <xdr:colOff>149410</xdr:colOff>
      <xdr:row>63</xdr:row>
      <xdr:rowOff>47924</xdr:rowOff>
    </xdr:to>
    <xdr:graphicFrame macro="">
      <xdr:nvGraphicFramePr>
        <xdr:cNvPr id="17" name="Chart 16">
          <a:extLst>
            <a:ext uri="{FF2B5EF4-FFF2-40B4-BE49-F238E27FC236}">
              <a16:creationId xmlns:a16="http://schemas.microsoft.com/office/drawing/2014/main" id="{94851DDF-9153-46EC-9F0D-97653F702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53</xdr:row>
      <xdr:rowOff>163312</xdr:rowOff>
    </xdr:from>
    <xdr:to>
      <xdr:col>5</xdr:col>
      <xdr:colOff>473136</xdr:colOff>
      <xdr:row>60</xdr:row>
      <xdr:rowOff>49805</xdr:rowOff>
    </xdr:to>
    <mc:AlternateContent xmlns:mc="http://schemas.openxmlformats.org/markup-compatibility/2006" xmlns:a14="http://schemas.microsoft.com/office/drawing/2010/main">
      <mc:Choice Requires="a14">
        <xdr:graphicFrame macro="">
          <xdr:nvGraphicFramePr>
            <xdr:cNvPr id="18" name="المنطقه">
              <a:extLst>
                <a:ext uri="{FF2B5EF4-FFF2-40B4-BE49-F238E27FC236}">
                  <a16:creationId xmlns:a16="http://schemas.microsoft.com/office/drawing/2014/main" id="{3E088A13-FCD3-445F-8BE4-B36476F71A15}"/>
                </a:ext>
              </a:extLst>
            </xdr:cNvPr>
            <xdr:cNvGraphicFramePr/>
          </xdr:nvGraphicFramePr>
          <xdr:xfrm>
            <a:off x="0" y="0"/>
            <a:ext cx="0" cy="0"/>
          </xdr:xfrm>
          <a:graphic>
            <a:graphicData uri="http://schemas.microsoft.com/office/drawing/2010/slicer">
              <sle:slicer xmlns:sle="http://schemas.microsoft.com/office/drawing/2010/slicer" name="المنطقه"/>
            </a:graphicData>
          </a:graphic>
        </xdr:graphicFrame>
      </mc:Choice>
      <mc:Fallback xmlns="">
        <xdr:sp macro="" textlink="">
          <xdr:nvSpPr>
            <xdr:cNvPr id="0" name=""/>
            <xdr:cNvSpPr>
              <a:spLocks noTextEdit="1"/>
            </xdr:cNvSpPr>
          </xdr:nvSpPr>
          <xdr:spPr>
            <a:xfrm>
              <a:off x="0" y="10061841"/>
              <a:ext cx="3523626" cy="1193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12451</xdr:colOff>
      <xdr:row>47</xdr:row>
      <xdr:rowOff>93032</xdr:rowOff>
    </xdr:from>
    <xdr:to>
      <xdr:col>5</xdr:col>
      <xdr:colOff>560294</xdr:colOff>
      <xdr:row>53</xdr:row>
      <xdr:rowOff>161863</xdr:rowOff>
    </xdr:to>
    <mc:AlternateContent xmlns:mc="http://schemas.openxmlformats.org/markup-compatibility/2006" xmlns:a14="http://schemas.microsoft.com/office/drawing/2010/main">
      <mc:Choice Requires="a14">
        <xdr:graphicFrame macro="">
          <xdr:nvGraphicFramePr>
            <xdr:cNvPr id="20" name="اللون">
              <a:extLst>
                <a:ext uri="{FF2B5EF4-FFF2-40B4-BE49-F238E27FC236}">
                  <a16:creationId xmlns:a16="http://schemas.microsoft.com/office/drawing/2014/main" id="{4E1DD563-BA2D-4996-8E82-331E20536E71}"/>
                </a:ext>
              </a:extLst>
            </xdr:cNvPr>
            <xdr:cNvGraphicFramePr/>
          </xdr:nvGraphicFramePr>
          <xdr:xfrm>
            <a:off x="0" y="0"/>
            <a:ext cx="0" cy="0"/>
          </xdr:xfrm>
          <a:graphic>
            <a:graphicData uri="http://schemas.microsoft.com/office/drawing/2010/slicer">
              <sle:slicer xmlns:sle="http://schemas.microsoft.com/office/drawing/2010/slicer" name="اللون"/>
            </a:graphicData>
          </a:graphic>
        </xdr:graphicFrame>
      </mc:Choice>
      <mc:Fallback xmlns="">
        <xdr:sp macro="" textlink="">
          <xdr:nvSpPr>
            <xdr:cNvPr id="0" name=""/>
            <xdr:cNvSpPr>
              <a:spLocks noTextEdit="1"/>
            </xdr:cNvSpPr>
          </xdr:nvSpPr>
          <xdr:spPr>
            <a:xfrm>
              <a:off x="12451" y="8870973"/>
              <a:ext cx="3598333" cy="1189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2.031362731483" createdVersion="8" refreshedVersion="8" minRefreshableVersion="3" recordCount="300" xr:uid="{26025BDC-DBE6-422F-A20B-68880719331D}">
  <cacheSource type="worksheet">
    <worksheetSource name="Table1"/>
  </cacheSource>
  <cacheFields count="13">
    <cacheField name="رقم العملية" numFmtId="0">
      <sharedItems containsSemiMixedTypes="0" containsString="0" containsNumber="1" containsInteger="1" minValue="1" maxValue="300"/>
    </cacheField>
    <cacheField name="تاريخ البيع" numFmtId="0">
      <sharedItems count="254">
        <s v="2024-09-20"/>
        <s v="2023-07-08"/>
        <s v="2023-09-20"/>
        <s v="2023-07-24"/>
        <s v="2023-12-15"/>
        <s v="2023-02-14"/>
        <s v="2024-10-16"/>
        <s v="2023-06-02"/>
        <s v="2024-04-29"/>
        <s v="2023-02-01"/>
        <s v="2024-01-17"/>
        <s v="2023-11-10"/>
        <s v="2023-01-31"/>
        <s v="2024-11-27"/>
        <s v="2023-06-18"/>
        <s v="2023-06-20"/>
        <s v="2023-08-15"/>
        <s v="2023-05-25"/>
        <s v="2023-08-12"/>
        <s v="2024-10-02"/>
        <s v="2024-09-08"/>
        <s v="2024-11-10"/>
        <s v="2023-01-08"/>
        <s v="2025-01-03"/>
        <s v="2023-11-21"/>
        <s v="2024-03-20"/>
        <s v="2023-08-14"/>
        <s v="2023-11-26"/>
        <s v="2024-07-29"/>
        <s v="2024-05-28"/>
        <s v="2024-10-18"/>
        <s v="2023-07-25"/>
        <s v="2023-11-27"/>
        <s v="2024-04-05"/>
        <s v="2023-02-11"/>
        <s v="2023-01-03"/>
        <s v="2023-04-21"/>
        <s v="2023-06-22"/>
        <s v="2023-12-07"/>
        <s v="2023-04-10"/>
        <s v="2025-01-27"/>
        <s v="2024-01-27"/>
        <s v="2024-03-03"/>
        <s v="2024-09-13"/>
        <s v="2025-02-01"/>
        <s v="2023-08-02"/>
        <s v="2024-03-24"/>
        <s v="2024-04-20"/>
        <s v="2023-12-20"/>
        <s v="2023-10-03"/>
        <s v="2023-03-20"/>
        <s v="2024-11-25"/>
        <s v="2023-08-17"/>
        <s v="2024-07-02"/>
        <s v="2024-07-11"/>
        <s v="2023-04-04"/>
        <s v="2024-10-15"/>
        <s v="2024-11-14"/>
        <s v="2023-10-21"/>
        <s v="2023-05-28"/>
        <s v="2023-03-19"/>
        <s v="2023-01-20"/>
        <s v="2023-09-28"/>
        <s v="2025-01-30"/>
        <s v="2023-03-11"/>
        <s v="2023-01-25"/>
        <s v="2023-06-25"/>
        <s v="2024-08-15"/>
        <s v="2024-03-09"/>
        <s v="2023-10-08"/>
        <s v="2024-09-14"/>
        <s v="2023-08-09"/>
        <s v="2023-01-24"/>
        <s v="2023-02-27"/>
        <s v="2023-04-09"/>
        <s v="2023-04-22"/>
        <s v="2023-08-27"/>
        <s v="2023-11-29"/>
        <s v="2023-10-07"/>
        <s v="2023-08-21"/>
        <s v="2023-05-27"/>
        <s v="2023-11-17"/>
        <s v="2023-07-31"/>
        <s v="2023-06-06"/>
        <s v="2023-09-29"/>
        <s v="2023-09-07"/>
        <s v="2024-03-12"/>
        <s v="2024-08-31"/>
        <s v="2023-10-24"/>
        <s v="2024-03-01"/>
        <s v="2023-02-10"/>
        <s v="2023-10-16"/>
        <s v="2024-12-06"/>
        <s v="2023-09-21"/>
        <s v="2023-07-17"/>
        <s v="2024-06-05"/>
        <s v="2024-01-20"/>
        <s v="2024-08-04"/>
        <s v="2024-03-28"/>
        <s v="2024-08-08"/>
        <s v="2023-03-10"/>
        <s v="2023-10-19"/>
        <s v="2023-07-01"/>
        <s v="2025-02-07"/>
        <s v="2024-04-07"/>
        <s v="2024-07-18"/>
        <s v="2024-09-04"/>
        <s v="2023-09-08"/>
        <s v="2023-12-05"/>
        <s v="2023-02-04"/>
        <s v="2024-11-16"/>
        <s v="2024-04-08"/>
        <s v="2023-05-05"/>
        <s v="2024-04-24"/>
        <s v="2024-12-26"/>
        <s v="2023-12-10"/>
        <s v="2023-10-10"/>
        <s v="2024-08-19"/>
        <s v="2024-07-16"/>
        <s v="2024-08-28"/>
        <s v="2023-01-04"/>
        <s v="2024-11-01"/>
        <s v="2023-10-13"/>
        <s v="2023-12-11"/>
        <s v="2025-01-06"/>
        <s v="2023-09-05"/>
        <s v="2024-07-12"/>
        <s v="2024-12-17"/>
        <s v="2024-04-10"/>
        <s v="2023-12-03"/>
        <s v="2024-04-12"/>
        <s v="2024-08-30"/>
        <s v="2024-12-20"/>
        <s v="2024-04-01"/>
        <s v="2024-07-31"/>
        <s v="2024-11-12"/>
        <s v="2024-08-25"/>
        <s v="2023-03-12"/>
        <s v="2023-04-01"/>
        <s v="2024-06-01"/>
        <s v="2025-03-02"/>
        <s v="2023-03-31"/>
        <s v="2024-02-02"/>
        <s v="2024-04-04"/>
        <s v="2023-03-07"/>
        <s v="2023-11-24"/>
        <s v="2023-12-14"/>
        <s v="2023-02-19"/>
        <s v="2023-07-04"/>
        <s v="2023-05-08"/>
        <s v="2023-02-28"/>
        <s v="2023-10-09"/>
        <s v="2025-02-09"/>
        <s v="2024-08-11"/>
        <s v="2023-12-18"/>
        <s v="2024-01-14"/>
        <s v="2024-06-15"/>
        <s v="2023-08-07"/>
        <s v="2023-04-16"/>
        <s v="2024-01-07"/>
        <s v="2024-02-28"/>
        <s v="2024-09-22"/>
        <s v="2024-05-24"/>
        <s v="2025-02-19"/>
        <s v="2024-01-11"/>
        <s v="2024-01-23"/>
        <s v="2023-09-02"/>
        <s v="2023-07-10"/>
        <s v="2023-04-26"/>
        <s v="2023-07-09"/>
        <s v="2023-11-11"/>
        <s v="2024-02-17"/>
        <s v="2023-05-07"/>
        <s v="2024-07-09"/>
        <s v="2024-06-06"/>
        <s v="2023-02-12"/>
        <s v="2024-07-04"/>
        <s v="2024-10-13"/>
        <s v="2025-01-23"/>
        <s v="2023-09-09"/>
        <s v="2023-04-06"/>
        <s v="2024-11-24"/>
        <s v="2023-10-05"/>
        <s v="2023-09-18"/>
        <s v="2023-01-15"/>
        <s v="2023-05-17"/>
        <s v="2023-01-10"/>
        <s v="2024-02-09"/>
        <s v="2025-03-01"/>
        <s v="2023-02-07"/>
        <s v="2025-03-07"/>
        <s v="2024-04-21"/>
        <s v="2024-09-23"/>
        <s v="2023-05-18"/>
        <s v="2024-03-19"/>
        <s v="2023-06-07"/>
        <s v="2024-01-13"/>
        <s v="2023-09-17"/>
        <s v="2024-11-20"/>
        <s v="2024-05-22"/>
        <s v="2023-06-19"/>
        <s v="2024-03-29"/>
        <s v="2024-07-14"/>
        <s v="2023-05-14"/>
        <s v="2023-03-28"/>
        <s v="2024-02-01"/>
        <s v="2024-03-04"/>
        <s v="2023-09-11"/>
        <s v="2024-02-13"/>
        <s v="2025-01-22"/>
        <s v="2023-08-03"/>
        <s v="2023-01-02"/>
        <s v="2023-02-05"/>
        <s v="2024-06-07"/>
        <s v="2023-09-01"/>
        <s v="2023-10-28"/>
        <s v="2023-02-22"/>
        <s v="2025-01-08"/>
        <s v="2025-01-17"/>
        <s v="2024-11-28"/>
        <s v="2024-11-03"/>
        <s v="2024-02-04"/>
        <s v="2023-05-29"/>
        <s v="2024-09-11"/>
        <s v="2023-11-05"/>
        <s v="2024-11-13"/>
        <s v="2025-01-12"/>
        <s v="2024-06-09"/>
        <s v="2023-01-30"/>
        <s v="2023-01-22"/>
        <s v="2024-12-03"/>
        <s v="2023-05-21"/>
        <s v="2023-11-07"/>
        <s v="2023-10-14"/>
        <s v="2024-04-11"/>
        <s v="2023-05-24"/>
        <s v="2024-07-30"/>
        <s v="2023-12-25"/>
        <s v="2024-08-23"/>
        <s v="2024-08-10"/>
        <s v="2023-08-10"/>
        <s v="2024-05-25"/>
        <s v="2024-09-05"/>
        <s v="2023-04-08"/>
        <s v="2023-07-27"/>
        <s v="2023-06-05"/>
        <s v="2023-07-23"/>
        <s v="2024-04-30"/>
        <s v="2024-05-11"/>
        <s v="2024-10-04"/>
        <s v="2025-02-24"/>
        <s v="2024-03-17"/>
        <s v="2024-01-21"/>
        <s v="2024-05-02"/>
      </sharedItems>
    </cacheField>
    <cacheField name="اسم العميل" numFmtId="0">
      <sharedItems count="10">
        <s v="حسن أحمد"/>
        <s v="علي إبراهيم"/>
        <s v="أحمد محمد"/>
        <s v="محمود حسن"/>
        <s v="طارق سامي"/>
        <s v="خالد يوسف"/>
        <s v="يوسف محمود"/>
        <s v="إبراهيم خالد"/>
        <s v="عبدالله عمر"/>
        <s v="محمد علي"/>
      </sharedItems>
    </cacheField>
    <cacheField name="رقم الهاتف" numFmtId="0">
      <sharedItems/>
    </cacheField>
    <cacheField name="نوع السيارة" numFmtId="0">
      <sharedItems count="5">
        <s v="بيك اب"/>
        <s v="هاتشباك"/>
        <s v="SUV"/>
        <s v="سيدان"/>
        <s v="كروس اوفر"/>
      </sharedItems>
    </cacheField>
    <cacheField name="الماركة" numFmtId="0">
      <sharedItems count="10">
        <s v="نيسان"/>
        <s v="فولكس فاجن"/>
        <s v="مرسيدس"/>
        <s v="بيجو"/>
        <s v="كيا"/>
        <s v="هيونداي"/>
        <s v="رينو"/>
        <s v="شيفروليه"/>
        <s v="سكودا"/>
        <s v="تويوتا"/>
      </sharedItems>
    </cacheField>
    <cacheField name="الفئه" numFmtId="0">
      <sharedItems count="6">
        <s v="اولي "/>
        <s v="تانيه"/>
        <s v="اعلي فئه"/>
        <s v="سابعه"/>
        <s v="رابعه"/>
        <s v="تالته"/>
      </sharedItems>
    </cacheField>
    <cacheField name="سنة الصنع" numFmtId="0">
      <sharedItems containsSemiMixedTypes="0" containsString="0" containsNumber="1" containsInteger="1" minValue="2015" maxValue="2024" count="10">
        <n v="2022"/>
        <n v="2018"/>
        <n v="2023"/>
        <n v="2019"/>
        <n v="2015"/>
        <n v="2017"/>
        <n v="2020"/>
        <n v="2016"/>
        <n v="2024"/>
        <n v="2021"/>
      </sharedItems>
    </cacheField>
    <cacheField name="اللون" numFmtId="0">
      <sharedItems count="6">
        <s v="رمادي"/>
        <s v="أبيض"/>
        <s v="فضي"/>
        <s v="أسود"/>
        <s v="أزرق"/>
        <s v="أحمر"/>
      </sharedItems>
    </cacheField>
    <cacheField name="سعر البيع" numFmtId="0">
      <sharedItems containsSemiMixedTypes="0" containsString="0" containsNumber="1" containsInteger="1" minValue="303478" maxValue="1982443"/>
    </cacheField>
    <cacheField name="طريقة الدفع" numFmtId="0">
      <sharedItems count="3">
        <s v="تحويل بنكي"/>
        <s v="تقسيط"/>
        <s v="كاش"/>
      </sharedItems>
    </cacheField>
    <cacheField name="حالة السيارة" numFmtId="0">
      <sharedItems count="2">
        <s v="مستعملة"/>
        <s v="جديدة"/>
      </sharedItems>
    </cacheField>
    <cacheField name="المندوب" numFmtId="0">
      <sharedItems count="5">
        <s v="مصطفى"/>
        <s v="سارة"/>
        <s v="مينا"/>
        <s v="نور"/>
        <s v="كريم"/>
      </sharedItems>
    </cacheField>
  </cacheFields>
  <extLst>
    <ext xmlns:x14="http://schemas.microsoft.com/office/spreadsheetml/2009/9/main" uri="{725AE2AE-9491-48be-B2B4-4EB974FC3084}">
      <x14:pivotCacheDefinition pivotCacheId="730128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843558449073" backgroundQuery="1" createdVersion="8" refreshedVersion="8" minRefreshableVersion="3" recordCount="0" supportSubquery="1" supportAdvancedDrill="1" xr:uid="{D3B5C07E-A223-4AB1-9C6B-CF00AC20176D}">
  <cacheSource type="external" connectionId="5"/>
  <cacheFields count="3">
    <cacheField name="[Table1].[المندوب].[المندوب]" caption="المندوب" numFmtId="0" hierarchy="12" level="1">
      <sharedItems count="5">
        <s v="سارة"/>
        <s v="كريم"/>
        <s v="مصطفى"/>
        <s v="مينا"/>
        <s v="نور"/>
      </sharedItems>
    </cacheField>
    <cacheField name="[Measures].[Sum of تقييم المندوب]" caption="Sum of تقييم المندوب" numFmtId="0" hierarchy="18" level="32767"/>
    <cacheField name="[Table1].[المنطقه].[المنطقه]" caption="المنطقه" numFmtId="0" hierarchy="14" level="1">
      <sharedItems containsSemiMixedTypes="0" containsNonDate="0" containsString="0"/>
    </cacheField>
  </cacheFields>
  <cacheHierarchies count="20">
    <cacheHierarchy uniqueName="[Table1].[رقم العملية]" caption="رقم العملية" attribute="1" defaultMemberUniqueName="[Table1].[رقم العملية].[All]" allUniqueName="[Table1].[رقم العملية].[All]" dimensionUniqueName="[Table1]" displayFolder="" count="2" memberValueDatatype="20" unbalanced="0"/>
    <cacheHierarchy uniqueName="[Table1].[تاريخ البيع]" caption="تاريخ البيع" attribute="1" defaultMemberUniqueName="[Table1].[تاريخ البيع].[All]" allUniqueName="[Table1].[تاريخ البيع].[All]" dimensionUniqueName="[Table1]" displayFolder="" count="2" memberValueDatatype="130" unbalanced="0"/>
    <cacheHierarchy uniqueName="[Table1].[اسم العميل]" caption="اسم العميل" attribute="1" defaultMemberUniqueName="[Table1].[اسم العميل].[All]" allUniqueName="[Table1].[اسم العميل].[All]" dimensionUniqueName="[Table1]" displayFolder="" count="2" memberValueDatatype="130" unbalanced="0"/>
    <cacheHierarchy uniqueName="[Table1].[رقم الهاتف]" caption="رقم الهاتف" attribute="1" defaultMemberUniqueName="[Table1].[رقم الهاتف].[All]" allUniqueName="[Table1].[رقم الهاتف].[All]" dimensionUniqueName="[Table1]" displayFolder="" count="2" memberValueDatatype="130" unbalanced="0"/>
    <cacheHierarchy uniqueName="[Table1].[نوع السيارة]" caption="نوع السيارة" attribute="1" defaultMemberUniqueName="[Table1].[نوع السيارة].[All]" allUniqueName="[Table1].[نوع السيارة].[All]" dimensionUniqueName="[Table1]" displayFolder="" count="2" memberValueDatatype="130" unbalanced="0"/>
    <cacheHierarchy uniqueName="[Table1].[الماركة]" caption="الماركة" attribute="1" defaultMemberUniqueName="[Table1].[الماركة].[All]" allUniqueName="[Table1].[الماركة].[All]" dimensionUniqueName="[Table1]" displayFolder="" count="2" memberValueDatatype="130" unbalanced="0"/>
    <cacheHierarchy uniqueName="[Table1].[الفئه]" caption="الفئه" attribute="1" defaultMemberUniqueName="[Table1].[الفئه].[All]" allUniqueName="[Table1].[الفئه].[All]" dimensionUniqueName="[Table1]" displayFolder="" count="2" memberValueDatatype="130" unbalanced="0"/>
    <cacheHierarchy uniqueName="[Table1].[سنة الصنع]" caption="سنة الصنع" attribute="1" defaultMemberUniqueName="[Table1].[سنة الصنع].[All]" allUniqueName="[Table1].[سنة الصنع].[All]" dimensionUniqueName="[Table1]" displayFolder="" count="2" memberValueDatatype="20" unbalanced="0"/>
    <cacheHierarchy uniqueName="[Table1].[اللون]" caption="اللون" attribute="1" defaultMemberUniqueName="[Table1].[اللون].[All]" allUniqueName="[Table1].[اللون].[All]" dimensionUniqueName="[Table1]" displayFolder="" count="2" memberValueDatatype="130" unbalanced="0"/>
    <cacheHierarchy uniqueName="[Table1].[سعر البيع]" caption="سعر البيع" attribute="1" defaultMemberUniqueName="[Table1].[سعر البيع].[All]" allUniqueName="[Table1].[سعر البيع].[All]" dimensionUniqueName="[Table1]" displayFolder="" count="2" memberValueDatatype="20" unbalanced="0"/>
    <cacheHierarchy uniqueName="[Table1].[طريقة الدفع]" caption="طريقة الدفع" attribute="1" defaultMemberUniqueName="[Table1].[طريقة الدفع].[All]" allUniqueName="[Table1].[طريقة الدفع].[All]" dimensionUniqueName="[Table1]" displayFolder="" count="2" memberValueDatatype="130" unbalanced="0"/>
    <cacheHierarchy uniqueName="[Table1].[حالة السيارة]" caption="حالة السيارة" attribute="1" defaultMemberUniqueName="[Table1].[حالة السيارة].[All]" allUniqueName="[Table1].[حالة السيارة].[All]" dimensionUniqueName="[Table1]" displayFolder="" count="2" memberValueDatatype="130" unbalanced="0"/>
    <cacheHierarchy uniqueName="[Table1].[المندوب]" caption="المندوب" attribute="1" defaultMemberUniqueName="[Table1].[المندوب].[All]" allUniqueName="[Table1].[المندوب].[All]" dimensionUniqueName="[Table1]" displayFolder="" count="2" memberValueDatatype="130" unbalanced="0">
      <fieldsUsage count="2">
        <fieldUsage x="-1"/>
        <fieldUsage x="0"/>
      </fieldsUsage>
    </cacheHierarchy>
    <cacheHierarchy uniqueName="[Table1].[تقييم المندوب]" caption="تقييم المندوب" attribute="1" defaultMemberUniqueName="[Table1].[تقييم المندوب].[All]" allUniqueName="[Table1].[تقييم المندوب].[All]" dimensionUniqueName="[Table1]" displayFolder="" count="2" memberValueDatatype="20" unbalanced="0"/>
    <cacheHierarchy uniqueName="[Table1].[المنطقه]" caption="المنطقه" attribute="1" defaultMemberUniqueName="[Table1].[المنطقه].[All]" allUniqueName="[Table1].[المنطقه].[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طريقة الدفع]" caption="Count of طريقة الدفع" measure="1" displayFolder="" measureGroup="Table1" count="0" hidden="1">
      <extLst>
        <ext xmlns:x15="http://schemas.microsoft.com/office/spreadsheetml/2010/11/main" uri="{B97F6D7D-B522-45F9-BDA1-12C45D357490}">
          <x15:cacheHierarchy aggregatedColumn="10"/>
        </ext>
      </extLst>
    </cacheHierarchy>
    <cacheHierarchy uniqueName="[Measures].[Sum of تقييم المندوب]" caption="Sum of تقييم المندوب"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سعر البيع]" caption="Sum of سعر البيع"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843558912034" backgroundQuery="1" createdVersion="8" refreshedVersion="8" minRefreshableVersion="3" recordCount="0" supportSubquery="1" supportAdvancedDrill="1" xr:uid="{7AE52A6B-6D39-42B8-969F-1902788AD0B3}">
  <cacheSource type="external" connectionId="5"/>
  <cacheFields count="2">
    <cacheField name="[Table1].[المنطقه].[المنطقه]" caption="المنطقه" numFmtId="0" hierarchy="14" level="1">
      <sharedItems count="5">
        <s v="أسيوط"/>
        <s v="الإسكندرية"/>
        <s v="الجيزة"/>
        <s v="القاهرة"/>
        <s v="المنصورة"/>
      </sharedItems>
    </cacheField>
    <cacheField name="[Measures].[Count of طريقة الدفع]" caption="Count of طريقة الدفع" numFmtId="0" hierarchy="17" level="32767"/>
  </cacheFields>
  <cacheHierarchies count="20">
    <cacheHierarchy uniqueName="[Table1].[رقم العملية]" caption="رقم العملية" attribute="1" defaultMemberUniqueName="[Table1].[رقم العملية].[All]" allUniqueName="[Table1].[رقم العملية].[All]" dimensionUniqueName="[Table1]" displayFolder="" count="0" memberValueDatatype="20" unbalanced="0"/>
    <cacheHierarchy uniqueName="[Table1].[تاريخ البيع]" caption="تاريخ البيع" attribute="1" defaultMemberUniqueName="[Table1].[تاريخ البيع].[All]" allUniqueName="[Table1].[تاريخ البيع].[All]" dimensionUniqueName="[Table1]" displayFolder="" count="0" memberValueDatatype="130" unbalanced="0"/>
    <cacheHierarchy uniqueName="[Table1].[اسم العميل]" caption="اسم العميل" attribute="1" defaultMemberUniqueName="[Table1].[اسم العميل].[All]" allUniqueName="[Table1].[اسم العميل].[All]" dimensionUniqueName="[Table1]" displayFolder="" count="0" memberValueDatatype="130" unbalanced="0"/>
    <cacheHierarchy uniqueName="[Table1].[رقم الهاتف]" caption="رقم الهاتف" attribute="1" defaultMemberUniqueName="[Table1].[رقم الهاتف].[All]" allUniqueName="[Table1].[رقم الهاتف].[All]" dimensionUniqueName="[Table1]" displayFolder="" count="0" memberValueDatatype="130" unbalanced="0"/>
    <cacheHierarchy uniqueName="[Table1].[نوع السيارة]" caption="نوع السيارة" attribute="1" defaultMemberUniqueName="[Table1].[نوع السيارة].[All]" allUniqueName="[Table1].[نوع السيارة].[All]" dimensionUniqueName="[Table1]" displayFolder="" count="0" memberValueDatatype="130" unbalanced="0"/>
    <cacheHierarchy uniqueName="[Table1].[الماركة]" caption="الماركة" attribute="1" defaultMemberUniqueName="[Table1].[الماركة].[All]" allUniqueName="[Table1].[الماركة].[All]" dimensionUniqueName="[Table1]" displayFolder="" count="0" memberValueDatatype="130" unbalanced="0"/>
    <cacheHierarchy uniqueName="[Table1].[الفئه]" caption="الفئه" attribute="1" defaultMemberUniqueName="[Table1].[الفئه].[All]" allUniqueName="[Table1].[الفئه].[All]" dimensionUniqueName="[Table1]" displayFolder="" count="0" memberValueDatatype="130" unbalanced="0"/>
    <cacheHierarchy uniqueName="[Table1].[سنة الصنع]" caption="سنة الصنع" attribute="1" defaultMemberUniqueName="[Table1].[سنة الصنع].[All]" allUniqueName="[Table1].[سنة الصنع].[All]" dimensionUniqueName="[Table1]" displayFolder="" count="0" memberValueDatatype="20" unbalanced="0"/>
    <cacheHierarchy uniqueName="[Table1].[اللون]" caption="اللون" attribute="1" defaultMemberUniqueName="[Table1].[اللون].[All]" allUniqueName="[Table1].[اللون].[All]" dimensionUniqueName="[Table1]" displayFolder="" count="0" memberValueDatatype="130" unbalanced="0"/>
    <cacheHierarchy uniqueName="[Table1].[سعر البيع]" caption="سعر البيع" attribute="1" defaultMemberUniqueName="[Table1].[سعر البيع].[All]" allUniqueName="[Table1].[سعر البيع].[All]" dimensionUniqueName="[Table1]" displayFolder="" count="0" memberValueDatatype="20" unbalanced="0"/>
    <cacheHierarchy uniqueName="[Table1].[طريقة الدفع]" caption="طريقة الدفع" attribute="1" defaultMemberUniqueName="[Table1].[طريقة الدفع].[All]" allUniqueName="[Table1].[طريقة الدفع].[All]" dimensionUniqueName="[Table1]" displayFolder="" count="0" memberValueDatatype="130" unbalanced="0"/>
    <cacheHierarchy uniqueName="[Table1].[حالة السيارة]" caption="حالة السيارة" attribute="1" defaultMemberUniqueName="[Table1].[حالة السيارة].[All]" allUniqueName="[Table1].[حالة السيارة].[All]" dimensionUniqueName="[Table1]" displayFolder="" count="0" memberValueDatatype="130" unbalanced="0"/>
    <cacheHierarchy uniqueName="[Table1].[المندوب]" caption="المندوب" attribute="1" defaultMemberUniqueName="[Table1].[المندوب].[All]" allUniqueName="[Table1].[المندوب].[All]" dimensionUniqueName="[Table1]" displayFolder="" count="0" memberValueDatatype="130" unbalanced="0"/>
    <cacheHierarchy uniqueName="[Table1].[تقييم المندوب]" caption="تقييم المندوب" attribute="1" defaultMemberUniqueName="[Table1].[تقييم المندوب].[All]" allUniqueName="[Table1].[تقييم المندوب].[All]" dimensionUniqueName="[Table1]" displayFolder="" count="0" memberValueDatatype="20" unbalanced="0"/>
    <cacheHierarchy uniqueName="[Table1].[المنطقه]" caption="المنطقه" attribute="1" defaultMemberUniqueName="[Table1].[المنطقه].[All]" allUniqueName="[Table1].[المنطقه].[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طريقة الدفع]" caption="Count of طريقة الدفع"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تقييم المندوب]" caption="Sum of تقييم المندوب" measure="1" displayFolder="" measureGroup="Table1" count="0" hidden="1">
      <extLst>
        <ext xmlns:x15="http://schemas.microsoft.com/office/spreadsheetml/2010/11/main" uri="{B97F6D7D-B522-45F9-BDA1-12C45D357490}">
          <x15:cacheHierarchy aggregatedColumn="13"/>
        </ext>
      </extLst>
    </cacheHierarchy>
    <cacheHierarchy uniqueName="[Measures].[Sum of سعر البيع]" caption="Sum of سعر البيع"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843559374996" backgroundQuery="1" createdVersion="8" refreshedVersion="8" minRefreshableVersion="3" recordCount="0" supportSubquery="1" supportAdvancedDrill="1" xr:uid="{46E54CA1-4F10-4DB7-A33A-CD13D8822F75}">
  <cacheSource type="external" connectionId="5"/>
  <cacheFields count="2">
    <cacheField name="[Table1].[المنطقه].[المنطقه]" caption="المنطقه" numFmtId="0" hierarchy="14" level="1">
      <sharedItems count="5">
        <s v="أسيوط"/>
        <s v="الإسكندرية"/>
        <s v="الجيزة"/>
        <s v="القاهرة"/>
        <s v="المنصورة"/>
      </sharedItems>
    </cacheField>
    <cacheField name="[Measures].[Sum of سعر البيع]" caption="Sum of سعر البيع" numFmtId="0" hierarchy="19" level="32767"/>
  </cacheFields>
  <cacheHierarchies count="20">
    <cacheHierarchy uniqueName="[Table1].[رقم العملية]" caption="رقم العملية" attribute="1" defaultMemberUniqueName="[Table1].[رقم العملية].[All]" allUniqueName="[Table1].[رقم العملية].[All]" dimensionUniqueName="[Table1]" displayFolder="" count="0" memberValueDatatype="20" unbalanced="0"/>
    <cacheHierarchy uniqueName="[Table1].[تاريخ البيع]" caption="تاريخ البيع" attribute="1" defaultMemberUniqueName="[Table1].[تاريخ البيع].[All]" allUniqueName="[Table1].[تاريخ البيع].[All]" dimensionUniqueName="[Table1]" displayFolder="" count="0" memberValueDatatype="130" unbalanced="0"/>
    <cacheHierarchy uniqueName="[Table1].[اسم العميل]" caption="اسم العميل" attribute="1" defaultMemberUniqueName="[Table1].[اسم العميل].[All]" allUniqueName="[Table1].[اسم العميل].[All]" dimensionUniqueName="[Table1]" displayFolder="" count="0" memberValueDatatype="130" unbalanced="0"/>
    <cacheHierarchy uniqueName="[Table1].[رقم الهاتف]" caption="رقم الهاتف" attribute="1" defaultMemberUniqueName="[Table1].[رقم الهاتف].[All]" allUniqueName="[Table1].[رقم الهاتف].[All]" dimensionUniqueName="[Table1]" displayFolder="" count="0" memberValueDatatype="130" unbalanced="0"/>
    <cacheHierarchy uniqueName="[Table1].[نوع السيارة]" caption="نوع السيارة" attribute="1" defaultMemberUniqueName="[Table1].[نوع السيارة].[All]" allUniqueName="[Table1].[نوع السيارة].[All]" dimensionUniqueName="[Table1]" displayFolder="" count="0" memberValueDatatype="130" unbalanced="0"/>
    <cacheHierarchy uniqueName="[Table1].[الماركة]" caption="الماركة" attribute="1" defaultMemberUniqueName="[Table1].[الماركة].[All]" allUniqueName="[Table1].[الماركة].[All]" dimensionUniqueName="[Table1]" displayFolder="" count="0" memberValueDatatype="130" unbalanced="0"/>
    <cacheHierarchy uniqueName="[Table1].[الفئه]" caption="الفئه" attribute="1" defaultMemberUniqueName="[Table1].[الفئه].[All]" allUniqueName="[Table1].[الفئه].[All]" dimensionUniqueName="[Table1]" displayFolder="" count="0" memberValueDatatype="130" unbalanced="0"/>
    <cacheHierarchy uniqueName="[Table1].[سنة الصنع]" caption="سنة الصنع" attribute="1" defaultMemberUniqueName="[Table1].[سنة الصنع].[All]" allUniqueName="[Table1].[سنة الصنع].[All]" dimensionUniqueName="[Table1]" displayFolder="" count="0" memberValueDatatype="20" unbalanced="0"/>
    <cacheHierarchy uniqueName="[Table1].[اللون]" caption="اللون" attribute="1" defaultMemberUniqueName="[Table1].[اللون].[All]" allUniqueName="[Table1].[اللون].[All]" dimensionUniqueName="[Table1]" displayFolder="" count="0" memberValueDatatype="130" unbalanced="0"/>
    <cacheHierarchy uniqueName="[Table1].[سعر البيع]" caption="سعر البيع" attribute="1" defaultMemberUniqueName="[Table1].[سعر البيع].[All]" allUniqueName="[Table1].[سعر البيع].[All]" dimensionUniqueName="[Table1]" displayFolder="" count="0" memberValueDatatype="20" unbalanced="0"/>
    <cacheHierarchy uniqueName="[Table1].[طريقة الدفع]" caption="طريقة الدفع" attribute="1" defaultMemberUniqueName="[Table1].[طريقة الدفع].[All]" allUniqueName="[Table1].[طريقة الدفع].[All]" dimensionUniqueName="[Table1]" displayFolder="" count="0" memberValueDatatype="130" unbalanced="0"/>
    <cacheHierarchy uniqueName="[Table1].[حالة السيارة]" caption="حالة السيارة" attribute="1" defaultMemberUniqueName="[Table1].[حالة السيارة].[All]" allUniqueName="[Table1].[حالة السيارة].[All]" dimensionUniqueName="[Table1]" displayFolder="" count="0" memberValueDatatype="130" unbalanced="0"/>
    <cacheHierarchy uniqueName="[Table1].[المندوب]" caption="المندوب" attribute="1" defaultMemberUniqueName="[Table1].[المندوب].[All]" allUniqueName="[Table1].[المندوب].[All]" dimensionUniqueName="[Table1]" displayFolder="" count="0" memberValueDatatype="130" unbalanced="0"/>
    <cacheHierarchy uniqueName="[Table1].[تقييم المندوب]" caption="تقييم المندوب" attribute="1" defaultMemberUniqueName="[Table1].[تقييم المندوب].[All]" allUniqueName="[Table1].[تقييم المندوب].[All]" dimensionUniqueName="[Table1]" displayFolder="" count="0" memberValueDatatype="20" unbalanced="0"/>
    <cacheHierarchy uniqueName="[Table1].[المنطقه]" caption="المنطقه" attribute="1" defaultMemberUniqueName="[Table1].[المنطقه].[All]" allUniqueName="[Table1].[المنطقه].[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طريقة الدفع]" caption="Count of طريقة الدفع" measure="1" displayFolder="" measureGroup="Table1" count="0" hidden="1">
      <extLst>
        <ext xmlns:x15="http://schemas.microsoft.com/office/spreadsheetml/2010/11/main" uri="{B97F6D7D-B522-45F9-BDA1-12C45D357490}">
          <x15:cacheHierarchy aggregatedColumn="10"/>
        </ext>
      </extLst>
    </cacheHierarchy>
    <cacheHierarchy uniqueName="[Measures].[Sum of تقييم المندوب]" caption="Sum of تقييم المندوب" measure="1" displayFolder="" measureGroup="Table1" count="0" hidden="1">
      <extLst>
        <ext xmlns:x15="http://schemas.microsoft.com/office/spreadsheetml/2010/11/main" uri="{B97F6D7D-B522-45F9-BDA1-12C45D357490}">
          <x15:cacheHierarchy aggregatedColumn="13"/>
        </ext>
      </extLst>
    </cacheHierarchy>
    <cacheHierarchy uniqueName="[Measures].[Sum of سعر البيع]" caption="Sum of سعر البيع"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31730613426" backgroundQuery="1" createdVersion="3" refreshedVersion="8" minRefreshableVersion="3" recordCount="0" supportSubquery="1" supportAdvancedDrill="1" xr:uid="{A9C163EB-04C4-40A1-ABC0-EE868F70C7BC}">
  <cacheSource type="external" connectionId="5">
    <extLst>
      <ext xmlns:x14="http://schemas.microsoft.com/office/spreadsheetml/2009/9/main" uri="{F057638F-6D5F-4e77-A914-E7F072B9BCA8}">
        <x14:sourceConnection name="ThisWorkbookDataModel"/>
      </ext>
    </extLst>
  </cacheSource>
  <cacheFields count="0"/>
  <cacheHierarchies count="20">
    <cacheHierarchy uniqueName="[Table1].[رقم العملية]" caption="رقم العملية" attribute="1" defaultMemberUniqueName="[Table1].[رقم العملية].[All]" allUniqueName="[Table1].[رقم العملية].[All]" dimensionUniqueName="[Table1]" displayFolder="" count="0" memberValueDatatype="20" unbalanced="0"/>
    <cacheHierarchy uniqueName="[Table1].[تاريخ البيع]" caption="تاريخ البيع" attribute="1" defaultMemberUniqueName="[Table1].[تاريخ البيع].[All]" allUniqueName="[Table1].[تاريخ البيع].[All]" dimensionUniqueName="[Table1]" displayFolder="" count="0" memberValueDatatype="130" unbalanced="0"/>
    <cacheHierarchy uniqueName="[Table1].[اسم العميل]" caption="اسم العميل" attribute="1" defaultMemberUniqueName="[Table1].[اسم العميل].[All]" allUniqueName="[Table1].[اسم العميل].[All]" dimensionUniqueName="[Table1]" displayFolder="" count="0" memberValueDatatype="130" unbalanced="0"/>
    <cacheHierarchy uniqueName="[Table1].[رقم الهاتف]" caption="رقم الهاتف" attribute="1" defaultMemberUniqueName="[Table1].[رقم الهاتف].[All]" allUniqueName="[Table1].[رقم الهاتف].[All]" dimensionUniqueName="[Table1]" displayFolder="" count="0" memberValueDatatype="130" unbalanced="0"/>
    <cacheHierarchy uniqueName="[Table1].[نوع السيارة]" caption="نوع السيارة" attribute="1" defaultMemberUniqueName="[Table1].[نوع السيارة].[All]" allUniqueName="[Table1].[نوع السيارة].[All]" dimensionUniqueName="[Table1]" displayFolder="" count="2" memberValueDatatype="130" unbalanced="0"/>
    <cacheHierarchy uniqueName="[Table1].[الماركة]" caption="الماركة" attribute="1" defaultMemberUniqueName="[Table1].[الماركة].[All]" allUniqueName="[Table1].[الماركة].[All]" dimensionUniqueName="[Table1]" displayFolder="" count="2" memberValueDatatype="130" unbalanced="0"/>
    <cacheHierarchy uniqueName="[Table1].[الفئه]" caption="الفئه" attribute="1" defaultMemberUniqueName="[Table1].[الفئه].[All]" allUniqueName="[Table1].[الفئه].[All]" dimensionUniqueName="[Table1]" displayFolder="" count="2" memberValueDatatype="130" unbalanced="0"/>
    <cacheHierarchy uniqueName="[Table1].[سنة الصنع]" caption="سنة الصنع" attribute="1" defaultMemberUniqueName="[Table1].[سنة الصنع].[All]" allUniqueName="[Table1].[سنة الصنع].[All]" dimensionUniqueName="[Table1]" displayFolder="" count="2" memberValueDatatype="20" unbalanced="0"/>
    <cacheHierarchy uniqueName="[Table1].[اللون]" caption="اللون" attribute="1" defaultMemberUniqueName="[Table1].[اللون].[All]" allUniqueName="[Table1].[اللون].[All]" dimensionUniqueName="[Table1]" displayFolder="" count="2" memberValueDatatype="130" unbalanced="0"/>
    <cacheHierarchy uniqueName="[Table1].[سعر البيع]" caption="سعر البيع" attribute="1" defaultMemberUniqueName="[Table1].[سعر البيع].[All]" allUniqueName="[Table1].[سعر البيع].[All]" dimensionUniqueName="[Table1]" displayFolder="" count="0" memberValueDatatype="20" unbalanced="0"/>
    <cacheHierarchy uniqueName="[Table1].[طريقة الدفع]" caption="طريقة الدفع" attribute="1" defaultMemberUniqueName="[Table1].[طريقة الدفع].[All]" allUniqueName="[Table1].[طريقة الدفع].[All]" dimensionUniqueName="[Table1]" displayFolder="" count="0" memberValueDatatype="130" unbalanced="0"/>
    <cacheHierarchy uniqueName="[Table1].[حالة السيارة]" caption="حالة السيارة" attribute="1" defaultMemberUniqueName="[Table1].[حالة السيارة].[All]" allUniqueName="[Table1].[حالة السيارة].[All]" dimensionUniqueName="[Table1]" displayFolder="" count="2" memberValueDatatype="130" unbalanced="0"/>
    <cacheHierarchy uniqueName="[Table1].[المندوب]" caption="المندوب" attribute="1" defaultMemberUniqueName="[Table1].[المندوب].[All]" allUniqueName="[Table1].[المندوب].[All]" dimensionUniqueName="[Table1]" displayFolder="" count="0" memberValueDatatype="130" unbalanced="0"/>
    <cacheHierarchy uniqueName="[Table1].[تقييم المندوب]" caption="تقييم المندوب" attribute="1" defaultMemberUniqueName="[Table1].[تقييم المندوب].[All]" allUniqueName="[Table1].[تقييم المندوب].[All]" dimensionUniqueName="[Table1]" displayFolder="" count="2" memberValueDatatype="20" unbalanced="0"/>
    <cacheHierarchy uniqueName="[Table1].[المنطقه]" caption="المنطقه" attribute="1" defaultMemberUniqueName="[Table1].[المنطقه].[All]" allUniqueName="[Table1].[المنطقه].[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طريقة الدفع]" caption="Count of طريقة الدفع" measure="1" displayFolder="" measureGroup="Table1" count="0" hidden="1">
      <extLst>
        <ext xmlns:x15="http://schemas.microsoft.com/office/spreadsheetml/2010/11/main" uri="{B97F6D7D-B522-45F9-BDA1-12C45D357490}">
          <x15:cacheHierarchy aggregatedColumn="10"/>
        </ext>
      </extLst>
    </cacheHierarchy>
    <cacheHierarchy uniqueName="[Measures].[Sum of تقييم المندوب]" caption="Sum of تقييم المندوب" measure="1" displayFolder="" measureGroup="Table1" count="0" hidden="1">
      <extLst>
        <ext xmlns:x15="http://schemas.microsoft.com/office/spreadsheetml/2010/11/main" uri="{B97F6D7D-B522-45F9-BDA1-12C45D357490}">
          <x15:cacheHierarchy aggregatedColumn="13"/>
        </ext>
      </extLst>
    </cacheHierarchy>
    <cacheHierarchy uniqueName="[Measures].[Sum of سعر البيع]" caption="Sum of سعر البيع"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0221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x v="0"/>
    <s v="01207374229"/>
    <x v="0"/>
    <x v="0"/>
    <x v="0"/>
    <x v="0"/>
    <x v="0"/>
    <n v="702305"/>
    <x v="0"/>
    <x v="0"/>
    <x v="0"/>
  </r>
  <r>
    <n v="2"/>
    <x v="1"/>
    <x v="1"/>
    <s v="01138196752"/>
    <x v="1"/>
    <x v="1"/>
    <x v="1"/>
    <x v="1"/>
    <x v="1"/>
    <n v="355142"/>
    <x v="1"/>
    <x v="1"/>
    <x v="1"/>
  </r>
  <r>
    <n v="3"/>
    <x v="2"/>
    <x v="2"/>
    <s v="01194163496"/>
    <x v="2"/>
    <x v="2"/>
    <x v="2"/>
    <x v="0"/>
    <x v="1"/>
    <n v="606072"/>
    <x v="1"/>
    <x v="0"/>
    <x v="2"/>
  </r>
  <r>
    <n v="4"/>
    <x v="3"/>
    <x v="3"/>
    <s v="01186484933"/>
    <x v="0"/>
    <x v="3"/>
    <x v="3"/>
    <x v="2"/>
    <x v="2"/>
    <n v="399356"/>
    <x v="0"/>
    <x v="1"/>
    <x v="3"/>
  </r>
  <r>
    <n v="5"/>
    <x v="4"/>
    <x v="4"/>
    <s v="01277063359"/>
    <x v="1"/>
    <x v="4"/>
    <x v="4"/>
    <x v="0"/>
    <x v="0"/>
    <n v="744077"/>
    <x v="1"/>
    <x v="0"/>
    <x v="1"/>
  </r>
  <r>
    <n v="6"/>
    <x v="5"/>
    <x v="3"/>
    <s v="01179795558"/>
    <x v="3"/>
    <x v="2"/>
    <x v="5"/>
    <x v="3"/>
    <x v="0"/>
    <n v="1973064"/>
    <x v="0"/>
    <x v="0"/>
    <x v="4"/>
  </r>
  <r>
    <n v="7"/>
    <x v="6"/>
    <x v="5"/>
    <s v="01112303517"/>
    <x v="1"/>
    <x v="5"/>
    <x v="0"/>
    <x v="4"/>
    <x v="0"/>
    <n v="1045900"/>
    <x v="0"/>
    <x v="1"/>
    <x v="0"/>
  </r>
  <r>
    <n v="8"/>
    <x v="7"/>
    <x v="6"/>
    <s v="01280690784"/>
    <x v="2"/>
    <x v="0"/>
    <x v="1"/>
    <x v="5"/>
    <x v="3"/>
    <n v="1767254"/>
    <x v="1"/>
    <x v="1"/>
    <x v="3"/>
  </r>
  <r>
    <n v="9"/>
    <x v="8"/>
    <x v="3"/>
    <s v="01235781061"/>
    <x v="1"/>
    <x v="6"/>
    <x v="2"/>
    <x v="3"/>
    <x v="0"/>
    <n v="517389"/>
    <x v="0"/>
    <x v="1"/>
    <x v="2"/>
  </r>
  <r>
    <n v="10"/>
    <x v="9"/>
    <x v="7"/>
    <s v="01214019055"/>
    <x v="2"/>
    <x v="0"/>
    <x v="3"/>
    <x v="6"/>
    <x v="0"/>
    <n v="924113"/>
    <x v="0"/>
    <x v="0"/>
    <x v="0"/>
  </r>
  <r>
    <n v="11"/>
    <x v="10"/>
    <x v="3"/>
    <s v="01104629045"/>
    <x v="0"/>
    <x v="5"/>
    <x v="4"/>
    <x v="2"/>
    <x v="1"/>
    <n v="958633"/>
    <x v="2"/>
    <x v="0"/>
    <x v="2"/>
  </r>
  <r>
    <n v="12"/>
    <x v="11"/>
    <x v="0"/>
    <s v="01204987425"/>
    <x v="2"/>
    <x v="5"/>
    <x v="5"/>
    <x v="7"/>
    <x v="1"/>
    <n v="611627"/>
    <x v="1"/>
    <x v="0"/>
    <x v="4"/>
  </r>
  <r>
    <n v="13"/>
    <x v="12"/>
    <x v="5"/>
    <s v="01200082171"/>
    <x v="1"/>
    <x v="2"/>
    <x v="0"/>
    <x v="8"/>
    <x v="2"/>
    <n v="1791210"/>
    <x v="0"/>
    <x v="0"/>
    <x v="0"/>
  </r>
  <r>
    <n v="14"/>
    <x v="13"/>
    <x v="3"/>
    <s v="01159786060"/>
    <x v="2"/>
    <x v="5"/>
    <x v="1"/>
    <x v="5"/>
    <x v="3"/>
    <n v="1672857"/>
    <x v="2"/>
    <x v="1"/>
    <x v="1"/>
  </r>
  <r>
    <n v="15"/>
    <x v="14"/>
    <x v="6"/>
    <s v="01160754577"/>
    <x v="4"/>
    <x v="6"/>
    <x v="2"/>
    <x v="8"/>
    <x v="0"/>
    <n v="371048"/>
    <x v="2"/>
    <x v="0"/>
    <x v="4"/>
  </r>
  <r>
    <n v="16"/>
    <x v="15"/>
    <x v="8"/>
    <s v="01241511255"/>
    <x v="4"/>
    <x v="3"/>
    <x v="3"/>
    <x v="0"/>
    <x v="2"/>
    <n v="742709"/>
    <x v="1"/>
    <x v="0"/>
    <x v="2"/>
  </r>
  <r>
    <n v="17"/>
    <x v="16"/>
    <x v="9"/>
    <s v="01177960777"/>
    <x v="2"/>
    <x v="2"/>
    <x v="4"/>
    <x v="4"/>
    <x v="4"/>
    <n v="1531226"/>
    <x v="2"/>
    <x v="0"/>
    <x v="0"/>
  </r>
  <r>
    <n v="18"/>
    <x v="17"/>
    <x v="8"/>
    <s v="01139488292"/>
    <x v="3"/>
    <x v="4"/>
    <x v="5"/>
    <x v="6"/>
    <x v="1"/>
    <n v="551645"/>
    <x v="0"/>
    <x v="1"/>
    <x v="3"/>
  </r>
  <r>
    <n v="19"/>
    <x v="18"/>
    <x v="2"/>
    <s v="01232795006"/>
    <x v="4"/>
    <x v="7"/>
    <x v="0"/>
    <x v="9"/>
    <x v="4"/>
    <n v="1051949"/>
    <x v="1"/>
    <x v="0"/>
    <x v="4"/>
  </r>
  <r>
    <n v="20"/>
    <x v="19"/>
    <x v="0"/>
    <s v="01216870635"/>
    <x v="4"/>
    <x v="8"/>
    <x v="1"/>
    <x v="6"/>
    <x v="1"/>
    <n v="851217"/>
    <x v="2"/>
    <x v="1"/>
    <x v="1"/>
  </r>
  <r>
    <n v="21"/>
    <x v="20"/>
    <x v="0"/>
    <s v="01118923342"/>
    <x v="2"/>
    <x v="8"/>
    <x v="2"/>
    <x v="7"/>
    <x v="2"/>
    <n v="1768631"/>
    <x v="2"/>
    <x v="1"/>
    <x v="1"/>
  </r>
  <r>
    <n v="22"/>
    <x v="21"/>
    <x v="8"/>
    <s v="01237137004"/>
    <x v="2"/>
    <x v="1"/>
    <x v="0"/>
    <x v="0"/>
    <x v="0"/>
    <n v="1613941"/>
    <x v="1"/>
    <x v="1"/>
    <x v="1"/>
  </r>
  <r>
    <n v="23"/>
    <x v="22"/>
    <x v="5"/>
    <s v="01161037050"/>
    <x v="2"/>
    <x v="2"/>
    <x v="4"/>
    <x v="6"/>
    <x v="5"/>
    <n v="1630580"/>
    <x v="1"/>
    <x v="0"/>
    <x v="0"/>
  </r>
  <r>
    <n v="24"/>
    <x v="23"/>
    <x v="2"/>
    <s v="01118856988"/>
    <x v="0"/>
    <x v="0"/>
    <x v="5"/>
    <x v="5"/>
    <x v="3"/>
    <n v="1719955"/>
    <x v="2"/>
    <x v="1"/>
    <x v="3"/>
  </r>
  <r>
    <n v="25"/>
    <x v="24"/>
    <x v="7"/>
    <s v="01121869062"/>
    <x v="3"/>
    <x v="6"/>
    <x v="0"/>
    <x v="2"/>
    <x v="2"/>
    <n v="1453933"/>
    <x v="0"/>
    <x v="1"/>
    <x v="2"/>
  </r>
  <r>
    <n v="26"/>
    <x v="25"/>
    <x v="1"/>
    <s v="01215853378"/>
    <x v="3"/>
    <x v="0"/>
    <x v="1"/>
    <x v="0"/>
    <x v="2"/>
    <n v="1549744"/>
    <x v="1"/>
    <x v="0"/>
    <x v="0"/>
  </r>
  <r>
    <n v="27"/>
    <x v="26"/>
    <x v="5"/>
    <s v="01102824319"/>
    <x v="2"/>
    <x v="9"/>
    <x v="2"/>
    <x v="6"/>
    <x v="1"/>
    <n v="524744"/>
    <x v="1"/>
    <x v="0"/>
    <x v="4"/>
  </r>
  <r>
    <n v="28"/>
    <x v="27"/>
    <x v="1"/>
    <s v="01255501456"/>
    <x v="4"/>
    <x v="9"/>
    <x v="3"/>
    <x v="2"/>
    <x v="0"/>
    <n v="1583405"/>
    <x v="1"/>
    <x v="1"/>
    <x v="1"/>
  </r>
  <r>
    <n v="29"/>
    <x v="28"/>
    <x v="5"/>
    <s v="01239805328"/>
    <x v="1"/>
    <x v="0"/>
    <x v="4"/>
    <x v="7"/>
    <x v="3"/>
    <n v="841829"/>
    <x v="2"/>
    <x v="1"/>
    <x v="1"/>
  </r>
  <r>
    <n v="30"/>
    <x v="29"/>
    <x v="4"/>
    <s v="01115098579"/>
    <x v="1"/>
    <x v="3"/>
    <x v="5"/>
    <x v="4"/>
    <x v="2"/>
    <n v="684152"/>
    <x v="1"/>
    <x v="0"/>
    <x v="0"/>
  </r>
  <r>
    <n v="31"/>
    <x v="30"/>
    <x v="3"/>
    <s v="01180132273"/>
    <x v="3"/>
    <x v="4"/>
    <x v="0"/>
    <x v="9"/>
    <x v="2"/>
    <n v="1222399"/>
    <x v="2"/>
    <x v="0"/>
    <x v="1"/>
  </r>
  <r>
    <n v="32"/>
    <x v="31"/>
    <x v="4"/>
    <s v="01244891899"/>
    <x v="3"/>
    <x v="6"/>
    <x v="1"/>
    <x v="1"/>
    <x v="0"/>
    <n v="1034011"/>
    <x v="1"/>
    <x v="0"/>
    <x v="2"/>
  </r>
  <r>
    <n v="33"/>
    <x v="32"/>
    <x v="9"/>
    <s v="01198188176"/>
    <x v="1"/>
    <x v="3"/>
    <x v="2"/>
    <x v="4"/>
    <x v="2"/>
    <n v="949085"/>
    <x v="1"/>
    <x v="0"/>
    <x v="3"/>
  </r>
  <r>
    <n v="34"/>
    <x v="33"/>
    <x v="5"/>
    <s v="01263834307"/>
    <x v="0"/>
    <x v="0"/>
    <x v="3"/>
    <x v="9"/>
    <x v="3"/>
    <n v="1915438"/>
    <x v="2"/>
    <x v="1"/>
    <x v="0"/>
  </r>
  <r>
    <n v="35"/>
    <x v="34"/>
    <x v="5"/>
    <s v="01187924708"/>
    <x v="2"/>
    <x v="6"/>
    <x v="4"/>
    <x v="8"/>
    <x v="3"/>
    <n v="1702733"/>
    <x v="2"/>
    <x v="1"/>
    <x v="4"/>
  </r>
  <r>
    <n v="36"/>
    <x v="35"/>
    <x v="5"/>
    <s v="01295068269"/>
    <x v="4"/>
    <x v="0"/>
    <x v="5"/>
    <x v="0"/>
    <x v="4"/>
    <n v="1521208"/>
    <x v="1"/>
    <x v="0"/>
    <x v="1"/>
  </r>
  <r>
    <n v="37"/>
    <x v="36"/>
    <x v="6"/>
    <s v="01220759104"/>
    <x v="2"/>
    <x v="7"/>
    <x v="0"/>
    <x v="9"/>
    <x v="4"/>
    <n v="938675"/>
    <x v="0"/>
    <x v="1"/>
    <x v="0"/>
  </r>
  <r>
    <n v="38"/>
    <x v="37"/>
    <x v="2"/>
    <s v="01116406447"/>
    <x v="4"/>
    <x v="8"/>
    <x v="1"/>
    <x v="9"/>
    <x v="2"/>
    <n v="417821"/>
    <x v="1"/>
    <x v="1"/>
    <x v="0"/>
  </r>
  <r>
    <n v="39"/>
    <x v="38"/>
    <x v="6"/>
    <s v="01169563346"/>
    <x v="3"/>
    <x v="1"/>
    <x v="2"/>
    <x v="6"/>
    <x v="5"/>
    <n v="839830"/>
    <x v="0"/>
    <x v="0"/>
    <x v="0"/>
  </r>
  <r>
    <n v="40"/>
    <x v="39"/>
    <x v="7"/>
    <s v="01292289093"/>
    <x v="1"/>
    <x v="1"/>
    <x v="3"/>
    <x v="4"/>
    <x v="3"/>
    <n v="864204"/>
    <x v="1"/>
    <x v="1"/>
    <x v="1"/>
  </r>
  <r>
    <n v="41"/>
    <x v="40"/>
    <x v="2"/>
    <s v="01254814526"/>
    <x v="3"/>
    <x v="4"/>
    <x v="4"/>
    <x v="5"/>
    <x v="0"/>
    <n v="1106290"/>
    <x v="1"/>
    <x v="1"/>
    <x v="1"/>
  </r>
  <r>
    <n v="42"/>
    <x v="41"/>
    <x v="1"/>
    <s v="01288220615"/>
    <x v="3"/>
    <x v="0"/>
    <x v="5"/>
    <x v="3"/>
    <x v="2"/>
    <n v="1189722"/>
    <x v="1"/>
    <x v="1"/>
    <x v="1"/>
  </r>
  <r>
    <n v="43"/>
    <x v="19"/>
    <x v="9"/>
    <s v="01180784171"/>
    <x v="1"/>
    <x v="8"/>
    <x v="0"/>
    <x v="8"/>
    <x v="0"/>
    <n v="1867577"/>
    <x v="2"/>
    <x v="1"/>
    <x v="2"/>
  </r>
  <r>
    <n v="44"/>
    <x v="42"/>
    <x v="0"/>
    <s v="01277207089"/>
    <x v="4"/>
    <x v="1"/>
    <x v="1"/>
    <x v="1"/>
    <x v="3"/>
    <n v="703239"/>
    <x v="2"/>
    <x v="1"/>
    <x v="3"/>
  </r>
  <r>
    <n v="45"/>
    <x v="37"/>
    <x v="3"/>
    <s v="01294605919"/>
    <x v="1"/>
    <x v="5"/>
    <x v="2"/>
    <x v="4"/>
    <x v="4"/>
    <n v="1788095"/>
    <x v="2"/>
    <x v="1"/>
    <x v="1"/>
  </r>
  <r>
    <n v="46"/>
    <x v="43"/>
    <x v="3"/>
    <s v="01220975527"/>
    <x v="4"/>
    <x v="9"/>
    <x v="3"/>
    <x v="5"/>
    <x v="1"/>
    <n v="1082019"/>
    <x v="2"/>
    <x v="0"/>
    <x v="2"/>
  </r>
  <r>
    <n v="47"/>
    <x v="44"/>
    <x v="4"/>
    <s v="01146150516"/>
    <x v="0"/>
    <x v="6"/>
    <x v="4"/>
    <x v="1"/>
    <x v="3"/>
    <n v="1064840"/>
    <x v="1"/>
    <x v="0"/>
    <x v="2"/>
  </r>
  <r>
    <n v="48"/>
    <x v="45"/>
    <x v="9"/>
    <s v="01255871335"/>
    <x v="3"/>
    <x v="1"/>
    <x v="5"/>
    <x v="0"/>
    <x v="2"/>
    <n v="556491"/>
    <x v="2"/>
    <x v="1"/>
    <x v="3"/>
  </r>
  <r>
    <n v="49"/>
    <x v="46"/>
    <x v="9"/>
    <s v="01188566504"/>
    <x v="1"/>
    <x v="1"/>
    <x v="0"/>
    <x v="4"/>
    <x v="5"/>
    <n v="677050"/>
    <x v="2"/>
    <x v="1"/>
    <x v="4"/>
  </r>
  <r>
    <n v="50"/>
    <x v="47"/>
    <x v="0"/>
    <s v="01190947969"/>
    <x v="2"/>
    <x v="3"/>
    <x v="1"/>
    <x v="1"/>
    <x v="2"/>
    <n v="818130"/>
    <x v="1"/>
    <x v="1"/>
    <x v="1"/>
  </r>
  <r>
    <n v="51"/>
    <x v="48"/>
    <x v="2"/>
    <s v="01147345262"/>
    <x v="4"/>
    <x v="1"/>
    <x v="2"/>
    <x v="9"/>
    <x v="2"/>
    <n v="949401"/>
    <x v="0"/>
    <x v="0"/>
    <x v="0"/>
  </r>
  <r>
    <n v="52"/>
    <x v="49"/>
    <x v="7"/>
    <s v="01175298152"/>
    <x v="3"/>
    <x v="4"/>
    <x v="3"/>
    <x v="2"/>
    <x v="2"/>
    <n v="1747266"/>
    <x v="1"/>
    <x v="1"/>
    <x v="4"/>
  </r>
  <r>
    <n v="53"/>
    <x v="50"/>
    <x v="6"/>
    <s v="01104654630"/>
    <x v="2"/>
    <x v="2"/>
    <x v="4"/>
    <x v="1"/>
    <x v="0"/>
    <n v="1072143"/>
    <x v="2"/>
    <x v="0"/>
    <x v="2"/>
  </r>
  <r>
    <n v="54"/>
    <x v="51"/>
    <x v="8"/>
    <s v="01154592091"/>
    <x v="1"/>
    <x v="3"/>
    <x v="5"/>
    <x v="8"/>
    <x v="2"/>
    <n v="1982443"/>
    <x v="0"/>
    <x v="0"/>
    <x v="1"/>
  </r>
  <r>
    <n v="55"/>
    <x v="52"/>
    <x v="7"/>
    <s v="01139811744"/>
    <x v="1"/>
    <x v="7"/>
    <x v="0"/>
    <x v="2"/>
    <x v="1"/>
    <n v="1427967"/>
    <x v="1"/>
    <x v="1"/>
    <x v="0"/>
  </r>
  <r>
    <n v="56"/>
    <x v="53"/>
    <x v="7"/>
    <s v="01198784290"/>
    <x v="4"/>
    <x v="0"/>
    <x v="1"/>
    <x v="8"/>
    <x v="5"/>
    <n v="1087133"/>
    <x v="2"/>
    <x v="0"/>
    <x v="2"/>
  </r>
  <r>
    <n v="57"/>
    <x v="54"/>
    <x v="1"/>
    <s v="01267608391"/>
    <x v="3"/>
    <x v="0"/>
    <x v="2"/>
    <x v="6"/>
    <x v="3"/>
    <n v="1113179"/>
    <x v="1"/>
    <x v="0"/>
    <x v="1"/>
  </r>
  <r>
    <n v="58"/>
    <x v="55"/>
    <x v="5"/>
    <s v="01273835899"/>
    <x v="2"/>
    <x v="0"/>
    <x v="3"/>
    <x v="9"/>
    <x v="5"/>
    <n v="1589568"/>
    <x v="1"/>
    <x v="1"/>
    <x v="2"/>
  </r>
  <r>
    <n v="59"/>
    <x v="56"/>
    <x v="7"/>
    <s v="01199393399"/>
    <x v="4"/>
    <x v="7"/>
    <x v="4"/>
    <x v="6"/>
    <x v="1"/>
    <n v="805887"/>
    <x v="2"/>
    <x v="1"/>
    <x v="4"/>
  </r>
  <r>
    <n v="60"/>
    <x v="57"/>
    <x v="7"/>
    <s v="01264948924"/>
    <x v="2"/>
    <x v="6"/>
    <x v="5"/>
    <x v="0"/>
    <x v="5"/>
    <n v="1320859"/>
    <x v="0"/>
    <x v="1"/>
    <x v="4"/>
  </r>
  <r>
    <n v="61"/>
    <x v="58"/>
    <x v="0"/>
    <s v="01295648433"/>
    <x v="3"/>
    <x v="8"/>
    <x v="0"/>
    <x v="2"/>
    <x v="3"/>
    <n v="984460"/>
    <x v="0"/>
    <x v="1"/>
    <x v="4"/>
  </r>
  <r>
    <n v="62"/>
    <x v="59"/>
    <x v="9"/>
    <s v="01166475313"/>
    <x v="2"/>
    <x v="2"/>
    <x v="1"/>
    <x v="2"/>
    <x v="4"/>
    <n v="1968081"/>
    <x v="0"/>
    <x v="1"/>
    <x v="1"/>
  </r>
  <r>
    <n v="63"/>
    <x v="53"/>
    <x v="0"/>
    <s v="01107130364"/>
    <x v="0"/>
    <x v="7"/>
    <x v="2"/>
    <x v="8"/>
    <x v="1"/>
    <n v="1279574"/>
    <x v="2"/>
    <x v="0"/>
    <x v="0"/>
  </r>
  <r>
    <n v="64"/>
    <x v="60"/>
    <x v="1"/>
    <s v="01112676460"/>
    <x v="2"/>
    <x v="0"/>
    <x v="3"/>
    <x v="0"/>
    <x v="1"/>
    <n v="1854884"/>
    <x v="1"/>
    <x v="0"/>
    <x v="4"/>
  </r>
  <r>
    <n v="65"/>
    <x v="61"/>
    <x v="9"/>
    <s v="01281801610"/>
    <x v="0"/>
    <x v="3"/>
    <x v="4"/>
    <x v="8"/>
    <x v="5"/>
    <n v="1965862"/>
    <x v="0"/>
    <x v="1"/>
    <x v="3"/>
  </r>
  <r>
    <n v="66"/>
    <x v="62"/>
    <x v="2"/>
    <s v="01202226447"/>
    <x v="1"/>
    <x v="5"/>
    <x v="5"/>
    <x v="5"/>
    <x v="0"/>
    <n v="1594230"/>
    <x v="1"/>
    <x v="0"/>
    <x v="2"/>
  </r>
  <r>
    <n v="67"/>
    <x v="63"/>
    <x v="6"/>
    <s v="01120526601"/>
    <x v="3"/>
    <x v="3"/>
    <x v="0"/>
    <x v="2"/>
    <x v="5"/>
    <n v="1645611"/>
    <x v="0"/>
    <x v="1"/>
    <x v="0"/>
  </r>
  <r>
    <n v="68"/>
    <x v="64"/>
    <x v="9"/>
    <s v="01134324263"/>
    <x v="3"/>
    <x v="4"/>
    <x v="1"/>
    <x v="5"/>
    <x v="4"/>
    <n v="1035786"/>
    <x v="0"/>
    <x v="0"/>
    <x v="2"/>
  </r>
  <r>
    <n v="69"/>
    <x v="65"/>
    <x v="8"/>
    <s v="01206447324"/>
    <x v="3"/>
    <x v="5"/>
    <x v="2"/>
    <x v="1"/>
    <x v="0"/>
    <n v="1225836"/>
    <x v="2"/>
    <x v="1"/>
    <x v="1"/>
  </r>
  <r>
    <n v="70"/>
    <x v="66"/>
    <x v="3"/>
    <s v="01191746751"/>
    <x v="1"/>
    <x v="7"/>
    <x v="3"/>
    <x v="2"/>
    <x v="2"/>
    <n v="1342968"/>
    <x v="0"/>
    <x v="0"/>
    <x v="4"/>
  </r>
  <r>
    <n v="71"/>
    <x v="67"/>
    <x v="4"/>
    <s v="01176281069"/>
    <x v="4"/>
    <x v="1"/>
    <x v="4"/>
    <x v="9"/>
    <x v="3"/>
    <n v="1678336"/>
    <x v="0"/>
    <x v="0"/>
    <x v="2"/>
  </r>
  <r>
    <n v="72"/>
    <x v="68"/>
    <x v="2"/>
    <s v="01200730482"/>
    <x v="4"/>
    <x v="4"/>
    <x v="5"/>
    <x v="0"/>
    <x v="4"/>
    <n v="869905"/>
    <x v="0"/>
    <x v="1"/>
    <x v="1"/>
  </r>
  <r>
    <n v="73"/>
    <x v="69"/>
    <x v="7"/>
    <s v="01283045612"/>
    <x v="2"/>
    <x v="3"/>
    <x v="0"/>
    <x v="5"/>
    <x v="2"/>
    <n v="1799692"/>
    <x v="1"/>
    <x v="0"/>
    <x v="2"/>
  </r>
  <r>
    <n v="74"/>
    <x v="70"/>
    <x v="5"/>
    <s v="01243723475"/>
    <x v="4"/>
    <x v="4"/>
    <x v="1"/>
    <x v="3"/>
    <x v="5"/>
    <n v="1965896"/>
    <x v="2"/>
    <x v="0"/>
    <x v="3"/>
  </r>
  <r>
    <n v="75"/>
    <x v="71"/>
    <x v="8"/>
    <s v="01252204682"/>
    <x v="4"/>
    <x v="1"/>
    <x v="2"/>
    <x v="8"/>
    <x v="4"/>
    <n v="963342"/>
    <x v="1"/>
    <x v="0"/>
    <x v="1"/>
  </r>
  <r>
    <n v="76"/>
    <x v="72"/>
    <x v="5"/>
    <s v="01126217695"/>
    <x v="2"/>
    <x v="0"/>
    <x v="3"/>
    <x v="5"/>
    <x v="3"/>
    <n v="356255"/>
    <x v="1"/>
    <x v="0"/>
    <x v="0"/>
  </r>
  <r>
    <n v="77"/>
    <x v="73"/>
    <x v="0"/>
    <s v="01113187260"/>
    <x v="4"/>
    <x v="5"/>
    <x v="4"/>
    <x v="9"/>
    <x v="3"/>
    <n v="379505"/>
    <x v="2"/>
    <x v="1"/>
    <x v="2"/>
  </r>
  <r>
    <n v="78"/>
    <x v="74"/>
    <x v="1"/>
    <s v="01148394863"/>
    <x v="3"/>
    <x v="7"/>
    <x v="5"/>
    <x v="7"/>
    <x v="1"/>
    <n v="1114508"/>
    <x v="1"/>
    <x v="0"/>
    <x v="4"/>
  </r>
  <r>
    <n v="79"/>
    <x v="75"/>
    <x v="9"/>
    <s v="01242943082"/>
    <x v="2"/>
    <x v="1"/>
    <x v="0"/>
    <x v="6"/>
    <x v="4"/>
    <n v="656811"/>
    <x v="0"/>
    <x v="1"/>
    <x v="3"/>
  </r>
  <r>
    <n v="80"/>
    <x v="76"/>
    <x v="0"/>
    <s v="01204524889"/>
    <x v="2"/>
    <x v="6"/>
    <x v="1"/>
    <x v="4"/>
    <x v="4"/>
    <n v="370202"/>
    <x v="1"/>
    <x v="0"/>
    <x v="1"/>
  </r>
  <r>
    <n v="81"/>
    <x v="77"/>
    <x v="7"/>
    <s v="01280256958"/>
    <x v="1"/>
    <x v="0"/>
    <x v="2"/>
    <x v="4"/>
    <x v="3"/>
    <n v="610817"/>
    <x v="1"/>
    <x v="1"/>
    <x v="2"/>
  </r>
  <r>
    <n v="82"/>
    <x v="78"/>
    <x v="2"/>
    <s v="01262810300"/>
    <x v="1"/>
    <x v="8"/>
    <x v="3"/>
    <x v="6"/>
    <x v="1"/>
    <n v="1831166"/>
    <x v="1"/>
    <x v="0"/>
    <x v="0"/>
  </r>
  <r>
    <n v="83"/>
    <x v="79"/>
    <x v="1"/>
    <s v="01287496394"/>
    <x v="2"/>
    <x v="0"/>
    <x v="4"/>
    <x v="1"/>
    <x v="5"/>
    <n v="867458"/>
    <x v="2"/>
    <x v="1"/>
    <x v="1"/>
  </r>
  <r>
    <n v="84"/>
    <x v="80"/>
    <x v="1"/>
    <s v="01253669194"/>
    <x v="4"/>
    <x v="4"/>
    <x v="5"/>
    <x v="5"/>
    <x v="1"/>
    <n v="1929419"/>
    <x v="1"/>
    <x v="1"/>
    <x v="3"/>
  </r>
  <r>
    <n v="85"/>
    <x v="81"/>
    <x v="8"/>
    <s v="01241124937"/>
    <x v="2"/>
    <x v="8"/>
    <x v="0"/>
    <x v="4"/>
    <x v="3"/>
    <n v="777174"/>
    <x v="1"/>
    <x v="0"/>
    <x v="4"/>
  </r>
  <r>
    <n v="86"/>
    <x v="82"/>
    <x v="8"/>
    <s v="01116655841"/>
    <x v="2"/>
    <x v="1"/>
    <x v="1"/>
    <x v="2"/>
    <x v="2"/>
    <n v="738313"/>
    <x v="2"/>
    <x v="1"/>
    <x v="0"/>
  </r>
  <r>
    <n v="87"/>
    <x v="83"/>
    <x v="9"/>
    <s v="01171530229"/>
    <x v="4"/>
    <x v="5"/>
    <x v="2"/>
    <x v="2"/>
    <x v="3"/>
    <n v="1642665"/>
    <x v="2"/>
    <x v="1"/>
    <x v="0"/>
  </r>
  <r>
    <n v="88"/>
    <x v="84"/>
    <x v="0"/>
    <s v="01297151285"/>
    <x v="2"/>
    <x v="5"/>
    <x v="3"/>
    <x v="3"/>
    <x v="0"/>
    <n v="1066859"/>
    <x v="2"/>
    <x v="0"/>
    <x v="3"/>
  </r>
  <r>
    <n v="89"/>
    <x v="85"/>
    <x v="5"/>
    <s v="01196981906"/>
    <x v="2"/>
    <x v="2"/>
    <x v="4"/>
    <x v="9"/>
    <x v="5"/>
    <n v="953934"/>
    <x v="0"/>
    <x v="1"/>
    <x v="0"/>
  </r>
  <r>
    <n v="90"/>
    <x v="86"/>
    <x v="8"/>
    <s v="01293362952"/>
    <x v="0"/>
    <x v="0"/>
    <x v="5"/>
    <x v="9"/>
    <x v="3"/>
    <n v="1317322"/>
    <x v="2"/>
    <x v="1"/>
    <x v="0"/>
  </r>
  <r>
    <n v="91"/>
    <x v="87"/>
    <x v="9"/>
    <s v="01280545941"/>
    <x v="2"/>
    <x v="6"/>
    <x v="0"/>
    <x v="2"/>
    <x v="0"/>
    <n v="602997"/>
    <x v="2"/>
    <x v="0"/>
    <x v="0"/>
  </r>
  <r>
    <n v="92"/>
    <x v="88"/>
    <x v="7"/>
    <s v="01161928363"/>
    <x v="1"/>
    <x v="2"/>
    <x v="1"/>
    <x v="1"/>
    <x v="0"/>
    <n v="460678"/>
    <x v="0"/>
    <x v="0"/>
    <x v="3"/>
  </r>
  <r>
    <n v="93"/>
    <x v="89"/>
    <x v="2"/>
    <s v="01273978380"/>
    <x v="1"/>
    <x v="5"/>
    <x v="2"/>
    <x v="8"/>
    <x v="4"/>
    <n v="333837"/>
    <x v="0"/>
    <x v="1"/>
    <x v="1"/>
  </r>
  <r>
    <n v="94"/>
    <x v="90"/>
    <x v="5"/>
    <s v="01272028039"/>
    <x v="1"/>
    <x v="3"/>
    <x v="3"/>
    <x v="7"/>
    <x v="0"/>
    <n v="1349293"/>
    <x v="1"/>
    <x v="0"/>
    <x v="1"/>
  </r>
  <r>
    <n v="95"/>
    <x v="91"/>
    <x v="8"/>
    <s v="01232955858"/>
    <x v="4"/>
    <x v="9"/>
    <x v="4"/>
    <x v="8"/>
    <x v="3"/>
    <n v="578408"/>
    <x v="1"/>
    <x v="1"/>
    <x v="1"/>
  </r>
  <r>
    <n v="96"/>
    <x v="92"/>
    <x v="1"/>
    <s v="01263966284"/>
    <x v="0"/>
    <x v="9"/>
    <x v="5"/>
    <x v="9"/>
    <x v="2"/>
    <n v="1093443"/>
    <x v="0"/>
    <x v="1"/>
    <x v="4"/>
  </r>
  <r>
    <n v="97"/>
    <x v="93"/>
    <x v="8"/>
    <s v="01257707590"/>
    <x v="2"/>
    <x v="0"/>
    <x v="0"/>
    <x v="1"/>
    <x v="1"/>
    <n v="731126"/>
    <x v="2"/>
    <x v="1"/>
    <x v="1"/>
  </r>
  <r>
    <n v="98"/>
    <x v="94"/>
    <x v="2"/>
    <s v="01149086509"/>
    <x v="1"/>
    <x v="2"/>
    <x v="1"/>
    <x v="2"/>
    <x v="1"/>
    <n v="484964"/>
    <x v="2"/>
    <x v="0"/>
    <x v="0"/>
  </r>
  <r>
    <n v="99"/>
    <x v="95"/>
    <x v="9"/>
    <s v="01134971122"/>
    <x v="3"/>
    <x v="4"/>
    <x v="2"/>
    <x v="6"/>
    <x v="4"/>
    <n v="1385184"/>
    <x v="1"/>
    <x v="1"/>
    <x v="4"/>
  </r>
  <r>
    <n v="100"/>
    <x v="96"/>
    <x v="6"/>
    <s v="01208635600"/>
    <x v="3"/>
    <x v="4"/>
    <x v="3"/>
    <x v="2"/>
    <x v="0"/>
    <n v="1649687"/>
    <x v="1"/>
    <x v="0"/>
    <x v="2"/>
  </r>
  <r>
    <n v="101"/>
    <x v="97"/>
    <x v="8"/>
    <s v="01259189667"/>
    <x v="2"/>
    <x v="8"/>
    <x v="4"/>
    <x v="0"/>
    <x v="2"/>
    <n v="1617620"/>
    <x v="1"/>
    <x v="1"/>
    <x v="4"/>
  </r>
  <r>
    <n v="102"/>
    <x v="98"/>
    <x v="6"/>
    <s v="01160372502"/>
    <x v="3"/>
    <x v="4"/>
    <x v="5"/>
    <x v="1"/>
    <x v="0"/>
    <n v="718986"/>
    <x v="1"/>
    <x v="1"/>
    <x v="3"/>
  </r>
  <r>
    <n v="103"/>
    <x v="99"/>
    <x v="3"/>
    <s v="01171768957"/>
    <x v="3"/>
    <x v="8"/>
    <x v="0"/>
    <x v="9"/>
    <x v="2"/>
    <n v="1741901"/>
    <x v="1"/>
    <x v="1"/>
    <x v="1"/>
  </r>
  <r>
    <n v="104"/>
    <x v="100"/>
    <x v="3"/>
    <s v="01214725270"/>
    <x v="4"/>
    <x v="5"/>
    <x v="1"/>
    <x v="9"/>
    <x v="3"/>
    <n v="1417106"/>
    <x v="2"/>
    <x v="1"/>
    <x v="4"/>
  </r>
  <r>
    <n v="105"/>
    <x v="101"/>
    <x v="8"/>
    <s v="01108758940"/>
    <x v="1"/>
    <x v="5"/>
    <x v="2"/>
    <x v="9"/>
    <x v="5"/>
    <n v="657961"/>
    <x v="0"/>
    <x v="0"/>
    <x v="1"/>
  </r>
  <r>
    <n v="106"/>
    <x v="41"/>
    <x v="0"/>
    <s v="01100101028"/>
    <x v="2"/>
    <x v="8"/>
    <x v="3"/>
    <x v="5"/>
    <x v="2"/>
    <n v="1863830"/>
    <x v="1"/>
    <x v="0"/>
    <x v="0"/>
  </r>
  <r>
    <n v="107"/>
    <x v="9"/>
    <x v="5"/>
    <s v="01105081798"/>
    <x v="1"/>
    <x v="6"/>
    <x v="4"/>
    <x v="7"/>
    <x v="2"/>
    <n v="1777366"/>
    <x v="0"/>
    <x v="1"/>
    <x v="0"/>
  </r>
  <r>
    <n v="108"/>
    <x v="102"/>
    <x v="8"/>
    <s v="01149667145"/>
    <x v="3"/>
    <x v="9"/>
    <x v="5"/>
    <x v="7"/>
    <x v="0"/>
    <n v="1580550"/>
    <x v="0"/>
    <x v="0"/>
    <x v="3"/>
  </r>
  <r>
    <n v="109"/>
    <x v="103"/>
    <x v="7"/>
    <s v="01173447020"/>
    <x v="0"/>
    <x v="0"/>
    <x v="0"/>
    <x v="3"/>
    <x v="4"/>
    <n v="438760"/>
    <x v="2"/>
    <x v="0"/>
    <x v="4"/>
  </r>
  <r>
    <n v="110"/>
    <x v="104"/>
    <x v="9"/>
    <s v="01298624918"/>
    <x v="3"/>
    <x v="0"/>
    <x v="1"/>
    <x v="4"/>
    <x v="1"/>
    <n v="1680095"/>
    <x v="2"/>
    <x v="0"/>
    <x v="1"/>
  </r>
  <r>
    <n v="111"/>
    <x v="105"/>
    <x v="4"/>
    <s v="01209855848"/>
    <x v="2"/>
    <x v="2"/>
    <x v="2"/>
    <x v="1"/>
    <x v="2"/>
    <n v="705572"/>
    <x v="0"/>
    <x v="0"/>
    <x v="4"/>
  </r>
  <r>
    <n v="112"/>
    <x v="106"/>
    <x v="4"/>
    <s v="01252290765"/>
    <x v="4"/>
    <x v="4"/>
    <x v="3"/>
    <x v="1"/>
    <x v="3"/>
    <n v="1081735"/>
    <x v="0"/>
    <x v="1"/>
    <x v="4"/>
  </r>
  <r>
    <n v="113"/>
    <x v="107"/>
    <x v="0"/>
    <s v="01130251586"/>
    <x v="4"/>
    <x v="0"/>
    <x v="4"/>
    <x v="5"/>
    <x v="1"/>
    <n v="1042256"/>
    <x v="2"/>
    <x v="0"/>
    <x v="4"/>
  </r>
  <r>
    <n v="114"/>
    <x v="108"/>
    <x v="2"/>
    <s v="01111621091"/>
    <x v="3"/>
    <x v="3"/>
    <x v="5"/>
    <x v="3"/>
    <x v="5"/>
    <n v="568376"/>
    <x v="1"/>
    <x v="1"/>
    <x v="0"/>
  </r>
  <r>
    <n v="115"/>
    <x v="109"/>
    <x v="6"/>
    <s v="01232474604"/>
    <x v="2"/>
    <x v="4"/>
    <x v="0"/>
    <x v="3"/>
    <x v="5"/>
    <n v="538024"/>
    <x v="1"/>
    <x v="1"/>
    <x v="0"/>
  </r>
  <r>
    <n v="116"/>
    <x v="110"/>
    <x v="1"/>
    <s v="01253171605"/>
    <x v="4"/>
    <x v="2"/>
    <x v="1"/>
    <x v="1"/>
    <x v="5"/>
    <n v="852160"/>
    <x v="2"/>
    <x v="0"/>
    <x v="4"/>
  </r>
  <r>
    <n v="117"/>
    <x v="111"/>
    <x v="1"/>
    <s v="01268271431"/>
    <x v="4"/>
    <x v="0"/>
    <x v="2"/>
    <x v="1"/>
    <x v="5"/>
    <n v="351885"/>
    <x v="0"/>
    <x v="1"/>
    <x v="2"/>
  </r>
  <r>
    <n v="118"/>
    <x v="15"/>
    <x v="5"/>
    <s v="01199178044"/>
    <x v="0"/>
    <x v="1"/>
    <x v="3"/>
    <x v="1"/>
    <x v="5"/>
    <n v="1285779"/>
    <x v="0"/>
    <x v="1"/>
    <x v="3"/>
  </r>
  <r>
    <n v="119"/>
    <x v="112"/>
    <x v="1"/>
    <s v="01180685685"/>
    <x v="2"/>
    <x v="0"/>
    <x v="4"/>
    <x v="8"/>
    <x v="2"/>
    <n v="1201048"/>
    <x v="1"/>
    <x v="1"/>
    <x v="2"/>
  </r>
  <r>
    <n v="120"/>
    <x v="113"/>
    <x v="4"/>
    <s v="01123272293"/>
    <x v="2"/>
    <x v="3"/>
    <x v="5"/>
    <x v="6"/>
    <x v="2"/>
    <n v="433526"/>
    <x v="2"/>
    <x v="1"/>
    <x v="2"/>
  </r>
  <r>
    <n v="121"/>
    <x v="41"/>
    <x v="5"/>
    <s v="01233522262"/>
    <x v="1"/>
    <x v="7"/>
    <x v="0"/>
    <x v="1"/>
    <x v="5"/>
    <n v="882513"/>
    <x v="0"/>
    <x v="0"/>
    <x v="2"/>
  </r>
  <r>
    <n v="122"/>
    <x v="114"/>
    <x v="3"/>
    <s v="01220392687"/>
    <x v="0"/>
    <x v="5"/>
    <x v="1"/>
    <x v="9"/>
    <x v="3"/>
    <n v="407836"/>
    <x v="0"/>
    <x v="0"/>
    <x v="2"/>
  </r>
  <r>
    <n v="123"/>
    <x v="115"/>
    <x v="3"/>
    <s v="01107600337"/>
    <x v="3"/>
    <x v="0"/>
    <x v="2"/>
    <x v="4"/>
    <x v="4"/>
    <n v="1599210"/>
    <x v="0"/>
    <x v="1"/>
    <x v="3"/>
  </r>
  <r>
    <n v="124"/>
    <x v="116"/>
    <x v="9"/>
    <s v="01107006061"/>
    <x v="1"/>
    <x v="1"/>
    <x v="3"/>
    <x v="7"/>
    <x v="5"/>
    <n v="1026756"/>
    <x v="0"/>
    <x v="1"/>
    <x v="1"/>
  </r>
  <r>
    <n v="125"/>
    <x v="117"/>
    <x v="4"/>
    <s v="01254759660"/>
    <x v="2"/>
    <x v="9"/>
    <x v="4"/>
    <x v="5"/>
    <x v="5"/>
    <n v="617272"/>
    <x v="0"/>
    <x v="1"/>
    <x v="2"/>
  </r>
  <r>
    <n v="126"/>
    <x v="118"/>
    <x v="3"/>
    <s v="01174973647"/>
    <x v="2"/>
    <x v="4"/>
    <x v="5"/>
    <x v="1"/>
    <x v="4"/>
    <n v="1144057"/>
    <x v="0"/>
    <x v="1"/>
    <x v="4"/>
  </r>
  <r>
    <n v="127"/>
    <x v="119"/>
    <x v="3"/>
    <s v="01167002906"/>
    <x v="2"/>
    <x v="5"/>
    <x v="0"/>
    <x v="3"/>
    <x v="2"/>
    <n v="1870091"/>
    <x v="1"/>
    <x v="1"/>
    <x v="3"/>
  </r>
  <r>
    <n v="128"/>
    <x v="120"/>
    <x v="7"/>
    <s v="01124380059"/>
    <x v="4"/>
    <x v="2"/>
    <x v="1"/>
    <x v="3"/>
    <x v="1"/>
    <n v="1394548"/>
    <x v="2"/>
    <x v="1"/>
    <x v="2"/>
  </r>
  <r>
    <n v="129"/>
    <x v="18"/>
    <x v="3"/>
    <s v="01158795702"/>
    <x v="4"/>
    <x v="9"/>
    <x v="2"/>
    <x v="6"/>
    <x v="2"/>
    <n v="894367"/>
    <x v="2"/>
    <x v="1"/>
    <x v="2"/>
  </r>
  <r>
    <n v="130"/>
    <x v="121"/>
    <x v="4"/>
    <s v="01213895336"/>
    <x v="2"/>
    <x v="4"/>
    <x v="3"/>
    <x v="2"/>
    <x v="1"/>
    <n v="350379"/>
    <x v="0"/>
    <x v="0"/>
    <x v="3"/>
  </r>
  <r>
    <n v="131"/>
    <x v="122"/>
    <x v="1"/>
    <s v="01278857114"/>
    <x v="0"/>
    <x v="2"/>
    <x v="4"/>
    <x v="2"/>
    <x v="3"/>
    <n v="1017113"/>
    <x v="0"/>
    <x v="1"/>
    <x v="2"/>
  </r>
  <r>
    <n v="132"/>
    <x v="123"/>
    <x v="0"/>
    <s v="01278646159"/>
    <x v="0"/>
    <x v="8"/>
    <x v="5"/>
    <x v="3"/>
    <x v="0"/>
    <n v="1619959"/>
    <x v="1"/>
    <x v="0"/>
    <x v="1"/>
  </r>
  <r>
    <n v="133"/>
    <x v="124"/>
    <x v="7"/>
    <s v="01277400717"/>
    <x v="3"/>
    <x v="8"/>
    <x v="0"/>
    <x v="9"/>
    <x v="4"/>
    <n v="1894154"/>
    <x v="2"/>
    <x v="0"/>
    <x v="0"/>
  </r>
  <r>
    <n v="134"/>
    <x v="125"/>
    <x v="6"/>
    <s v="01176638706"/>
    <x v="1"/>
    <x v="1"/>
    <x v="1"/>
    <x v="1"/>
    <x v="5"/>
    <n v="1433610"/>
    <x v="1"/>
    <x v="0"/>
    <x v="3"/>
  </r>
  <r>
    <n v="135"/>
    <x v="126"/>
    <x v="0"/>
    <s v="01222868953"/>
    <x v="2"/>
    <x v="1"/>
    <x v="2"/>
    <x v="1"/>
    <x v="1"/>
    <n v="641301"/>
    <x v="0"/>
    <x v="1"/>
    <x v="4"/>
  </r>
  <r>
    <n v="136"/>
    <x v="54"/>
    <x v="8"/>
    <s v="01289023877"/>
    <x v="1"/>
    <x v="4"/>
    <x v="3"/>
    <x v="7"/>
    <x v="2"/>
    <n v="1552190"/>
    <x v="0"/>
    <x v="1"/>
    <x v="4"/>
  </r>
  <r>
    <n v="137"/>
    <x v="127"/>
    <x v="5"/>
    <s v="01205698243"/>
    <x v="3"/>
    <x v="3"/>
    <x v="4"/>
    <x v="2"/>
    <x v="3"/>
    <n v="1216476"/>
    <x v="1"/>
    <x v="0"/>
    <x v="1"/>
  </r>
  <r>
    <n v="138"/>
    <x v="128"/>
    <x v="7"/>
    <s v="01113117854"/>
    <x v="1"/>
    <x v="5"/>
    <x v="5"/>
    <x v="8"/>
    <x v="4"/>
    <n v="1104606"/>
    <x v="1"/>
    <x v="0"/>
    <x v="0"/>
  </r>
  <r>
    <n v="139"/>
    <x v="129"/>
    <x v="2"/>
    <s v="01269454966"/>
    <x v="4"/>
    <x v="3"/>
    <x v="0"/>
    <x v="7"/>
    <x v="0"/>
    <n v="1654785"/>
    <x v="0"/>
    <x v="0"/>
    <x v="3"/>
  </r>
  <r>
    <n v="140"/>
    <x v="130"/>
    <x v="4"/>
    <s v="01212795993"/>
    <x v="4"/>
    <x v="2"/>
    <x v="1"/>
    <x v="1"/>
    <x v="1"/>
    <n v="1185246"/>
    <x v="0"/>
    <x v="0"/>
    <x v="3"/>
  </r>
  <r>
    <n v="141"/>
    <x v="131"/>
    <x v="3"/>
    <s v="01154763704"/>
    <x v="3"/>
    <x v="3"/>
    <x v="2"/>
    <x v="5"/>
    <x v="2"/>
    <n v="1307599"/>
    <x v="0"/>
    <x v="1"/>
    <x v="4"/>
  </r>
  <r>
    <n v="142"/>
    <x v="132"/>
    <x v="4"/>
    <s v="01214208038"/>
    <x v="3"/>
    <x v="7"/>
    <x v="3"/>
    <x v="7"/>
    <x v="1"/>
    <n v="1371266"/>
    <x v="2"/>
    <x v="1"/>
    <x v="3"/>
  </r>
  <r>
    <n v="143"/>
    <x v="133"/>
    <x v="9"/>
    <s v="01275645564"/>
    <x v="4"/>
    <x v="1"/>
    <x v="4"/>
    <x v="7"/>
    <x v="1"/>
    <n v="756418"/>
    <x v="2"/>
    <x v="1"/>
    <x v="0"/>
  </r>
  <r>
    <n v="144"/>
    <x v="134"/>
    <x v="6"/>
    <s v="01113221371"/>
    <x v="1"/>
    <x v="2"/>
    <x v="5"/>
    <x v="6"/>
    <x v="0"/>
    <n v="314361"/>
    <x v="1"/>
    <x v="0"/>
    <x v="4"/>
  </r>
  <r>
    <n v="145"/>
    <x v="135"/>
    <x v="2"/>
    <s v="01228635087"/>
    <x v="2"/>
    <x v="1"/>
    <x v="0"/>
    <x v="6"/>
    <x v="1"/>
    <n v="1836695"/>
    <x v="2"/>
    <x v="0"/>
    <x v="3"/>
  </r>
  <r>
    <n v="146"/>
    <x v="136"/>
    <x v="2"/>
    <s v="01219803689"/>
    <x v="0"/>
    <x v="0"/>
    <x v="1"/>
    <x v="4"/>
    <x v="2"/>
    <n v="634994"/>
    <x v="2"/>
    <x v="0"/>
    <x v="2"/>
  </r>
  <r>
    <n v="147"/>
    <x v="137"/>
    <x v="2"/>
    <s v="01279938943"/>
    <x v="0"/>
    <x v="9"/>
    <x v="2"/>
    <x v="1"/>
    <x v="5"/>
    <n v="499425"/>
    <x v="0"/>
    <x v="0"/>
    <x v="1"/>
  </r>
  <r>
    <n v="148"/>
    <x v="92"/>
    <x v="8"/>
    <s v="01224541714"/>
    <x v="0"/>
    <x v="0"/>
    <x v="3"/>
    <x v="7"/>
    <x v="3"/>
    <n v="352226"/>
    <x v="2"/>
    <x v="1"/>
    <x v="3"/>
  </r>
  <r>
    <n v="149"/>
    <x v="138"/>
    <x v="3"/>
    <s v="01280472035"/>
    <x v="2"/>
    <x v="5"/>
    <x v="4"/>
    <x v="2"/>
    <x v="3"/>
    <n v="732084"/>
    <x v="0"/>
    <x v="1"/>
    <x v="3"/>
  </r>
  <r>
    <n v="150"/>
    <x v="139"/>
    <x v="6"/>
    <s v="01179652124"/>
    <x v="4"/>
    <x v="4"/>
    <x v="5"/>
    <x v="4"/>
    <x v="3"/>
    <n v="833060"/>
    <x v="1"/>
    <x v="1"/>
    <x v="0"/>
  </r>
  <r>
    <n v="151"/>
    <x v="140"/>
    <x v="6"/>
    <s v="01158922666"/>
    <x v="1"/>
    <x v="7"/>
    <x v="0"/>
    <x v="2"/>
    <x v="2"/>
    <n v="1433248"/>
    <x v="1"/>
    <x v="0"/>
    <x v="0"/>
  </r>
  <r>
    <n v="152"/>
    <x v="141"/>
    <x v="6"/>
    <s v="01175328589"/>
    <x v="0"/>
    <x v="7"/>
    <x v="1"/>
    <x v="3"/>
    <x v="5"/>
    <n v="306127"/>
    <x v="0"/>
    <x v="1"/>
    <x v="0"/>
  </r>
  <r>
    <n v="153"/>
    <x v="142"/>
    <x v="8"/>
    <s v="01298075591"/>
    <x v="1"/>
    <x v="3"/>
    <x v="2"/>
    <x v="0"/>
    <x v="0"/>
    <n v="1488225"/>
    <x v="2"/>
    <x v="0"/>
    <x v="0"/>
  </r>
  <r>
    <n v="154"/>
    <x v="15"/>
    <x v="6"/>
    <s v="01197366401"/>
    <x v="1"/>
    <x v="0"/>
    <x v="3"/>
    <x v="5"/>
    <x v="5"/>
    <n v="458672"/>
    <x v="1"/>
    <x v="1"/>
    <x v="3"/>
  </r>
  <r>
    <n v="155"/>
    <x v="110"/>
    <x v="2"/>
    <s v="01132713235"/>
    <x v="1"/>
    <x v="5"/>
    <x v="4"/>
    <x v="1"/>
    <x v="4"/>
    <n v="916180"/>
    <x v="1"/>
    <x v="0"/>
    <x v="3"/>
  </r>
  <r>
    <n v="156"/>
    <x v="143"/>
    <x v="6"/>
    <s v="01264533222"/>
    <x v="1"/>
    <x v="6"/>
    <x v="5"/>
    <x v="4"/>
    <x v="2"/>
    <n v="519853"/>
    <x v="0"/>
    <x v="0"/>
    <x v="1"/>
  </r>
  <r>
    <n v="157"/>
    <x v="144"/>
    <x v="0"/>
    <s v="01115210705"/>
    <x v="4"/>
    <x v="2"/>
    <x v="0"/>
    <x v="4"/>
    <x v="4"/>
    <n v="612258"/>
    <x v="0"/>
    <x v="1"/>
    <x v="4"/>
  </r>
  <r>
    <n v="158"/>
    <x v="145"/>
    <x v="3"/>
    <s v="01195955612"/>
    <x v="1"/>
    <x v="9"/>
    <x v="1"/>
    <x v="8"/>
    <x v="3"/>
    <n v="1619938"/>
    <x v="1"/>
    <x v="1"/>
    <x v="1"/>
  </r>
  <r>
    <n v="159"/>
    <x v="146"/>
    <x v="9"/>
    <s v="01203222920"/>
    <x v="3"/>
    <x v="2"/>
    <x v="2"/>
    <x v="0"/>
    <x v="0"/>
    <n v="1385125"/>
    <x v="2"/>
    <x v="1"/>
    <x v="3"/>
  </r>
  <r>
    <n v="160"/>
    <x v="147"/>
    <x v="1"/>
    <s v="01218735890"/>
    <x v="1"/>
    <x v="5"/>
    <x v="3"/>
    <x v="1"/>
    <x v="5"/>
    <n v="1186944"/>
    <x v="2"/>
    <x v="1"/>
    <x v="1"/>
  </r>
  <r>
    <n v="161"/>
    <x v="148"/>
    <x v="7"/>
    <s v="01267926887"/>
    <x v="4"/>
    <x v="3"/>
    <x v="4"/>
    <x v="7"/>
    <x v="1"/>
    <n v="1388485"/>
    <x v="2"/>
    <x v="1"/>
    <x v="4"/>
  </r>
  <r>
    <n v="162"/>
    <x v="149"/>
    <x v="9"/>
    <s v="01101722713"/>
    <x v="1"/>
    <x v="6"/>
    <x v="5"/>
    <x v="6"/>
    <x v="2"/>
    <n v="460558"/>
    <x v="0"/>
    <x v="1"/>
    <x v="1"/>
  </r>
  <r>
    <n v="163"/>
    <x v="150"/>
    <x v="5"/>
    <s v="01127705062"/>
    <x v="4"/>
    <x v="5"/>
    <x v="0"/>
    <x v="4"/>
    <x v="3"/>
    <n v="1964615"/>
    <x v="2"/>
    <x v="0"/>
    <x v="0"/>
  </r>
  <r>
    <n v="164"/>
    <x v="151"/>
    <x v="0"/>
    <s v="01185917134"/>
    <x v="0"/>
    <x v="3"/>
    <x v="1"/>
    <x v="2"/>
    <x v="2"/>
    <n v="434626"/>
    <x v="2"/>
    <x v="1"/>
    <x v="4"/>
  </r>
  <r>
    <n v="165"/>
    <x v="152"/>
    <x v="3"/>
    <s v="01273603158"/>
    <x v="3"/>
    <x v="5"/>
    <x v="2"/>
    <x v="1"/>
    <x v="3"/>
    <n v="1954366"/>
    <x v="0"/>
    <x v="1"/>
    <x v="3"/>
  </r>
  <r>
    <n v="166"/>
    <x v="153"/>
    <x v="0"/>
    <s v="01150251305"/>
    <x v="1"/>
    <x v="1"/>
    <x v="3"/>
    <x v="9"/>
    <x v="1"/>
    <n v="556910"/>
    <x v="1"/>
    <x v="1"/>
    <x v="3"/>
  </r>
  <r>
    <n v="167"/>
    <x v="154"/>
    <x v="8"/>
    <s v="01143554142"/>
    <x v="3"/>
    <x v="1"/>
    <x v="4"/>
    <x v="9"/>
    <x v="4"/>
    <n v="1507278"/>
    <x v="1"/>
    <x v="0"/>
    <x v="0"/>
  </r>
  <r>
    <n v="168"/>
    <x v="155"/>
    <x v="0"/>
    <s v="01292966198"/>
    <x v="3"/>
    <x v="5"/>
    <x v="5"/>
    <x v="5"/>
    <x v="1"/>
    <n v="1181976"/>
    <x v="2"/>
    <x v="0"/>
    <x v="1"/>
  </r>
  <r>
    <n v="169"/>
    <x v="156"/>
    <x v="8"/>
    <s v="01138696554"/>
    <x v="4"/>
    <x v="0"/>
    <x v="0"/>
    <x v="6"/>
    <x v="4"/>
    <n v="731281"/>
    <x v="0"/>
    <x v="0"/>
    <x v="1"/>
  </r>
  <r>
    <n v="170"/>
    <x v="157"/>
    <x v="3"/>
    <s v="01140461104"/>
    <x v="1"/>
    <x v="9"/>
    <x v="1"/>
    <x v="3"/>
    <x v="4"/>
    <n v="868670"/>
    <x v="1"/>
    <x v="1"/>
    <x v="1"/>
  </r>
  <r>
    <n v="171"/>
    <x v="158"/>
    <x v="4"/>
    <s v="01226509081"/>
    <x v="3"/>
    <x v="4"/>
    <x v="2"/>
    <x v="0"/>
    <x v="3"/>
    <n v="1981311"/>
    <x v="2"/>
    <x v="1"/>
    <x v="2"/>
  </r>
  <r>
    <n v="172"/>
    <x v="159"/>
    <x v="0"/>
    <s v="01137754451"/>
    <x v="1"/>
    <x v="6"/>
    <x v="3"/>
    <x v="3"/>
    <x v="0"/>
    <n v="1910623"/>
    <x v="2"/>
    <x v="0"/>
    <x v="3"/>
  </r>
  <r>
    <n v="173"/>
    <x v="160"/>
    <x v="1"/>
    <s v="01263083184"/>
    <x v="1"/>
    <x v="0"/>
    <x v="4"/>
    <x v="4"/>
    <x v="1"/>
    <n v="1938082"/>
    <x v="0"/>
    <x v="1"/>
    <x v="4"/>
  </r>
  <r>
    <n v="174"/>
    <x v="72"/>
    <x v="4"/>
    <s v="01156642086"/>
    <x v="3"/>
    <x v="3"/>
    <x v="5"/>
    <x v="7"/>
    <x v="2"/>
    <n v="518282"/>
    <x v="1"/>
    <x v="0"/>
    <x v="4"/>
  </r>
  <r>
    <n v="175"/>
    <x v="161"/>
    <x v="1"/>
    <s v="01293044409"/>
    <x v="4"/>
    <x v="8"/>
    <x v="0"/>
    <x v="3"/>
    <x v="4"/>
    <n v="366651"/>
    <x v="1"/>
    <x v="0"/>
    <x v="2"/>
  </r>
  <r>
    <n v="176"/>
    <x v="162"/>
    <x v="6"/>
    <s v="01137729318"/>
    <x v="4"/>
    <x v="7"/>
    <x v="1"/>
    <x v="5"/>
    <x v="2"/>
    <n v="1390773"/>
    <x v="1"/>
    <x v="0"/>
    <x v="2"/>
  </r>
  <r>
    <n v="177"/>
    <x v="163"/>
    <x v="4"/>
    <s v="01130724261"/>
    <x v="1"/>
    <x v="3"/>
    <x v="2"/>
    <x v="9"/>
    <x v="5"/>
    <n v="1766966"/>
    <x v="2"/>
    <x v="0"/>
    <x v="2"/>
  </r>
  <r>
    <n v="178"/>
    <x v="164"/>
    <x v="9"/>
    <s v="01272049255"/>
    <x v="3"/>
    <x v="0"/>
    <x v="3"/>
    <x v="2"/>
    <x v="2"/>
    <n v="905410"/>
    <x v="2"/>
    <x v="0"/>
    <x v="2"/>
  </r>
  <r>
    <n v="179"/>
    <x v="165"/>
    <x v="8"/>
    <s v="01231476037"/>
    <x v="2"/>
    <x v="4"/>
    <x v="4"/>
    <x v="5"/>
    <x v="1"/>
    <n v="1918560"/>
    <x v="1"/>
    <x v="1"/>
    <x v="1"/>
  </r>
  <r>
    <n v="180"/>
    <x v="140"/>
    <x v="4"/>
    <s v="01222148943"/>
    <x v="4"/>
    <x v="5"/>
    <x v="5"/>
    <x v="3"/>
    <x v="0"/>
    <n v="1204445"/>
    <x v="2"/>
    <x v="0"/>
    <x v="1"/>
  </r>
  <r>
    <n v="181"/>
    <x v="67"/>
    <x v="2"/>
    <s v="01225463438"/>
    <x v="0"/>
    <x v="1"/>
    <x v="0"/>
    <x v="6"/>
    <x v="3"/>
    <n v="512538"/>
    <x v="2"/>
    <x v="1"/>
    <x v="4"/>
  </r>
  <r>
    <n v="182"/>
    <x v="166"/>
    <x v="5"/>
    <s v="01153228959"/>
    <x v="1"/>
    <x v="9"/>
    <x v="1"/>
    <x v="6"/>
    <x v="0"/>
    <n v="523591"/>
    <x v="2"/>
    <x v="0"/>
    <x v="1"/>
  </r>
  <r>
    <n v="183"/>
    <x v="167"/>
    <x v="3"/>
    <s v="01150079100"/>
    <x v="1"/>
    <x v="4"/>
    <x v="2"/>
    <x v="8"/>
    <x v="4"/>
    <n v="1940536"/>
    <x v="0"/>
    <x v="1"/>
    <x v="0"/>
  </r>
  <r>
    <n v="184"/>
    <x v="168"/>
    <x v="7"/>
    <s v="01292566273"/>
    <x v="1"/>
    <x v="9"/>
    <x v="3"/>
    <x v="0"/>
    <x v="0"/>
    <n v="990121"/>
    <x v="1"/>
    <x v="1"/>
    <x v="2"/>
  </r>
  <r>
    <n v="185"/>
    <x v="169"/>
    <x v="5"/>
    <s v="01125837986"/>
    <x v="1"/>
    <x v="7"/>
    <x v="4"/>
    <x v="0"/>
    <x v="2"/>
    <n v="1068837"/>
    <x v="2"/>
    <x v="1"/>
    <x v="1"/>
  </r>
  <r>
    <n v="186"/>
    <x v="170"/>
    <x v="7"/>
    <s v="01169124487"/>
    <x v="4"/>
    <x v="2"/>
    <x v="5"/>
    <x v="6"/>
    <x v="1"/>
    <n v="1948448"/>
    <x v="1"/>
    <x v="1"/>
    <x v="2"/>
  </r>
  <r>
    <n v="187"/>
    <x v="76"/>
    <x v="2"/>
    <s v="01198886814"/>
    <x v="0"/>
    <x v="4"/>
    <x v="0"/>
    <x v="1"/>
    <x v="2"/>
    <n v="1138365"/>
    <x v="1"/>
    <x v="1"/>
    <x v="3"/>
  </r>
  <r>
    <n v="188"/>
    <x v="1"/>
    <x v="9"/>
    <s v="01146107595"/>
    <x v="3"/>
    <x v="0"/>
    <x v="1"/>
    <x v="3"/>
    <x v="1"/>
    <n v="1048185"/>
    <x v="1"/>
    <x v="0"/>
    <x v="4"/>
  </r>
  <r>
    <n v="189"/>
    <x v="171"/>
    <x v="1"/>
    <s v="01227233512"/>
    <x v="3"/>
    <x v="0"/>
    <x v="2"/>
    <x v="8"/>
    <x v="1"/>
    <n v="1219503"/>
    <x v="2"/>
    <x v="1"/>
    <x v="3"/>
  </r>
  <r>
    <n v="190"/>
    <x v="172"/>
    <x v="8"/>
    <s v="01154727305"/>
    <x v="1"/>
    <x v="8"/>
    <x v="3"/>
    <x v="6"/>
    <x v="0"/>
    <n v="1962280"/>
    <x v="0"/>
    <x v="1"/>
    <x v="0"/>
  </r>
  <r>
    <n v="191"/>
    <x v="173"/>
    <x v="1"/>
    <s v="01109133384"/>
    <x v="4"/>
    <x v="1"/>
    <x v="4"/>
    <x v="0"/>
    <x v="3"/>
    <n v="1712590"/>
    <x v="2"/>
    <x v="1"/>
    <x v="3"/>
  </r>
  <r>
    <n v="192"/>
    <x v="174"/>
    <x v="5"/>
    <s v="01291414777"/>
    <x v="0"/>
    <x v="8"/>
    <x v="5"/>
    <x v="9"/>
    <x v="3"/>
    <n v="818674"/>
    <x v="0"/>
    <x v="0"/>
    <x v="3"/>
  </r>
  <r>
    <n v="193"/>
    <x v="175"/>
    <x v="0"/>
    <s v="01245528424"/>
    <x v="3"/>
    <x v="9"/>
    <x v="0"/>
    <x v="5"/>
    <x v="5"/>
    <n v="1065141"/>
    <x v="1"/>
    <x v="1"/>
    <x v="3"/>
  </r>
  <r>
    <n v="194"/>
    <x v="176"/>
    <x v="6"/>
    <s v="01273796824"/>
    <x v="1"/>
    <x v="9"/>
    <x v="1"/>
    <x v="0"/>
    <x v="1"/>
    <n v="1574437"/>
    <x v="0"/>
    <x v="1"/>
    <x v="3"/>
  </r>
  <r>
    <n v="195"/>
    <x v="177"/>
    <x v="7"/>
    <s v="01159381998"/>
    <x v="0"/>
    <x v="4"/>
    <x v="2"/>
    <x v="2"/>
    <x v="2"/>
    <n v="402305"/>
    <x v="2"/>
    <x v="1"/>
    <x v="0"/>
  </r>
  <r>
    <n v="196"/>
    <x v="54"/>
    <x v="9"/>
    <s v="01270582585"/>
    <x v="0"/>
    <x v="0"/>
    <x v="3"/>
    <x v="9"/>
    <x v="3"/>
    <n v="348127"/>
    <x v="1"/>
    <x v="1"/>
    <x v="3"/>
  </r>
  <r>
    <n v="197"/>
    <x v="178"/>
    <x v="4"/>
    <s v="01209377227"/>
    <x v="0"/>
    <x v="4"/>
    <x v="4"/>
    <x v="2"/>
    <x v="1"/>
    <n v="639275"/>
    <x v="0"/>
    <x v="1"/>
    <x v="2"/>
  </r>
  <r>
    <n v="198"/>
    <x v="0"/>
    <x v="1"/>
    <s v="01124968268"/>
    <x v="3"/>
    <x v="4"/>
    <x v="5"/>
    <x v="8"/>
    <x v="3"/>
    <n v="984486"/>
    <x v="1"/>
    <x v="0"/>
    <x v="1"/>
  </r>
  <r>
    <n v="199"/>
    <x v="179"/>
    <x v="6"/>
    <s v="01158364572"/>
    <x v="3"/>
    <x v="9"/>
    <x v="0"/>
    <x v="4"/>
    <x v="4"/>
    <n v="1970862"/>
    <x v="0"/>
    <x v="0"/>
    <x v="1"/>
  </r>
  <r>
    <n v="200"/>
    <x v="148"/>
    <x v="6"/>
    <s v="01163649386"/>
    <x v="1"/>
    <x v="4"/>
    <x v="1"/>
    <x v="9"/>
    <x v="3"/>
    <n v="1013589"/>
    <x v="0"/>
    <x v="0"/>
    <x v="2"/>
  </r>
  <r>
    <n v="201"/>
    <x v="180"/>
    <x v="3"/>
    <s v="01246944401"/>
    <x v="3"/>
    <x v="0"/>
    <x v="2"/>
    <x v="1"/>
    <x v="4"/>
    <n v="1084679"/>
    <x v="2"/>
    <x v="0"/>
    <x v="4"/>
  </r>
  <r>
    <n v="202"/>
    <x v="181"/>
    <x v="9"/>
    <s v="01233810365"/>
    <x v="4"/>
    <x v="8"/>
    <x v="3"/>
    <x v="5"/>
    <x v="3"/>
    <n v="1163358"/>
    <x v="0"/>
    <x v="1"/>
    <x v="4"/>
  </r>
  <r>
    <n v="203"/>
    <x v="182"/>
    <x v="4"/>
    <s v="01294673157"/>
    <x v="4"/>
    <x v="4"/>
    <x v="4"/>
    <x v="2"/>
    <x v="3"/>
    <n v="1274080"/>
    <x v="0"/>
    <x v="0"/>
    <x v="3"/>
  </r>
  <r>
    <n v="204"/>
    <x v="183"/>
    <x v="4"/>
    <s v="01228773509"/>
    <x v="3"/>
    <x v="1"/>
    <x v="5"/>
    <x v="9"/>
    <x v="5"/>
    <n v="1659839"/>
    <x v="0"/>
    <x v="1"/>
    <x v="4"/>
  </r>
  <r>
    <n v="205"/>
    <x v="93"/>
    <x v="0"/>
    <s v="01268927915"/>
    <x v="3"/>
    <x v="0"/>
    <x v="0"/>
    <x v="5"/>
    <x v="2"/>
    <n v="1429223"/>
    <x v="1"/>
    <x v="0"/>
    <x v="3"/>
  </r>
  <r>
    <n v="206"/>
    <x v="184"/>
    <x v="8"/>
    <s v="01163738655"/>
    <x v="1"/>
    <x v="4"/>
    <x v="1"/>
    <x v="8"/>
    <x v="3"/>
    <n v="1165526"/>
    <x v="2"/>
    <x v="1"/>
    <x v="0"/>
  </r>
  <r>
    <n v="207"/>
    <x v="185"/>
    <x v="6"/>
    <s v="01274056179"/>
    <x v="2"/>
    <x v="7"/>
    <x v="2"/>
    <x v="4"/>
    <x v="2"/>
    <n v="916612"/>
    <x v="2"/>
    <x v="1"/>
    <x v="0"/>
  </r>
  <r>
    <n v="208"/>
    <x v="186"/>
    <x v="0"/>
    <s v="01246179487"/>
    <x v="3"/>
    <x v="8"/>
    <x v="3"/>
    <x v="8"/>
    <x v="4"/>
    <n v="874574"/>
    <x v="1"/>
    <x v="1"/>
    <x v="3"/>
  </r>
  <r>
    <n v="209"/>
    <x v="187"/>
    <x v="9"/>
    <s v="01262358492"/>
    <x v="1"/>
    <x v="0"/>
    <x v="4"/>
    <x v="8"/>
    <x v="4"/>
    <n v="920126"/>
    <x v="1"/>
    <x v="0"/>
    <x v="3"/>
  </r>
  <r>
    <n v="210"/>
    <x v="188"/>
    <x v="6"/>
    <s v="01239443811"/>
    <x v="3"/>
    <x v="7"/>
    <x v="5"/>
    <x v="9"/>
    <x v="3"/>
    <n v="1285124"/>
    <x v="1"/>
    <x v="1"/>
    <x v="3"/>
  </r>
  <r>
    <n v="211"/>
    <x v="46"/>
    <x v="5"/>
    <s v="01276756635"/>
    <x v="0"/>
    <x v="9"/>
    <x v="0"/>
    <x v="9"/>
    <x v="4"/>
    <n v="1707457"/>
    <x v="2"/>
    <x v="1"/>
    <x v="1"/>
  </r>
  <r>
    <n v="212"/>
    <x v="110"/>
    <x v="6"/>
    <s v="01121226210"/>
    <x v="3"/>
    <x v="8"/>
    <x v="1"/>
    <x v="0"/>
    <x v="2"/>
    <n v="666229"/>
    <x v="2"/>
    <x v="0"/>
    <x v="0"/>
  </r>
  <r>
    <n v="213"/>
    <x v="189"/>
    <x v="8"/>
    <s v="01106361357"/>
    <x v="0"/>
    <x v="3"/>
    <x v="2"/>
    <x v="6"/>
    <x v="0"/>
    <n v="1578948"/>
    <x v="1"/>
    <x v="0"/>
    <x v="3"/>
  </r>
  <r>
    <n v="214"/>
    <x v="190"/>
    <x v="8"/>
    <s v="01289466478"/>
    <x v="4"/>
    <x v="7"/>
    <x v="3"/>
    <x v="3"/>
    <x v="5"/>
    <n v="1157194"/>
    <x v="1"/>
    <x v="1"/>
    <x v="2"/>
  </r>
  <r>
    <n v="215"/>
    <x v="191"/>
    <x v="7"/>
    <s v="01108221998"/>
    <x v="4"/>
    <x v="0"/>
    <x v="4"/>
    <x v="6"/>
    <x v="2"/>
    <n v="996386"/>
    <x v="0"/>
    <x v="1"/>
    <x v="4"/>
  </r>
  <r>
    <n v="216"/>
    <x v="192"/>
    <x v="8"/>
    <s v="01274320352"/>
    <x v="2"/>
    <x v="7"/>
    <x v="5"/>
    <x v="5"/>
    <x v="5"/>
    <n v="1569510"/>
    <x v="1"/>
    <x v="1"/>
    <x v="4"/>
  </r>
  <r>
    <n v="217"/>
    <x v="193"/>
    <x v="8"/>
    <s v="01246574904"/>
    <x v="3"/>
    <x v="4"/>
    <x v="0"/>
    <x v="6"/>
    <x v="0"/>
    <n v="1534685"/>
    <x v="2"/>
    <x v="1"/>
    <x v="0"/>
  </r>
  <r>
    <n v="218"/>
    <x v="53"/>
    <x v="8"/>
    <s v="01163895146"/>
    <x v="1"/>
    <x v="6"/>
    <x v="1"/>
    <x v="0"/>
    <x v="3"/>
    <n v="1930147"/>
    <x v="1"/>
    <x v="0"/>
    <x v="0"/>
  </r>
  <r>
    <n v="219"/>
    <x v="50"/>
    <x v="2"/>
    <s v="01272411050"/>
    <x v="0"/>
    <x v="5"/>
    <x v="2"/>
    <x v="2"/>
    <x v="2"/>
    <n v="1579053"/>
    <x v="1"/>
    <x v="1"/>
    <x v="1"/>
  </r>
  <r>
    <n v="220"/>
    <x v="194"/>
    <x v="0"/>
    <s v="01101063540"/>
    <x v="4"/>
    <x v="3"/>
    <x v="3"/>
    <x v="7"/>
    <x v="2"/>
    <n v="1414495"/>
    <x v="0"/>
    <x v="0"/>
    <x v="4"/>
  </r>
  <r>
    <n v="221"/>
    <x v="195"/>
    <x v="6"/>
    <s v="01185657665"/>
    <x v="3"/>
    <x v="2"/>
    <x v="4"/>
    <x v="0"/>
    <x v="2"/>
    <n v="1703015"/>
    <x v="2"/>
    <x v="1"/>
    <x v="1"/>
  </r>
  <r>
    <n v="222"/>
    <x v="196"/>
    <x v="2"/>
    <s v="01283510429"/>
    <x v="1"/>
    <x v="3"/>
    <x v="5"/>
    <x v="7"/>
    <x v="5"/>
    <n v="1623605"/>
    <x v="1"/>
    <x v="0"/>
    <x v="4"/>
  </r>
  <r>
    <n v="223"/>
    <x v="197"/>
    <x v="5"/>
    <s v="01169159169"/>
    <x v="1"/>
    <x v="4"/>
    <x v="0"/>
    <x v="6"/>
    <x v="5"/>
    <n v="303478"/>
    <x v="2"/>
    <x v="1"/>
    <x v="2"/>
  </r>
  <r>
    <n v="224"/>
    <x v="198"/>
    <x v="4"/>
    <s v="01254243322"/>
    <x v="3"/>
    <x v="3"/>
    <x v="1"/>
    <x v="8"/>
    <x v="3"/>
    <n v="1169235"/>
    <x v="2"/>
    <x v="1"/>
    <x v="3"/>
  </r>
  <r>
    <n v="225"/>
    <x v="199"/>
    <x v="3"/>
    <s v="01248880251"/>
    <x v="1"/>
    <x v="0"/>
    <x v="2"/>
    <x v="1"/>
    <x v="4"/>
    <n v="328567"/>
    <x v="0"/>
    <x v="1"/>
    <x v="0"/>
  </r>
  <r>
    <n v="226"/>
    <x v="200"/>
    <x v="5"/>
    <s v="01215506423"/>
    <x v="4"/>
    <x v="9"/>
    <x v="3"/>
    <x v="3"/>
    <x v="3"/>
    <n v="1049681"/>
    <x v="0"/>
    <x v="1"/>
    <x v="2"/>
  </r>
  <r>
    <n v="227"/>
    <x v="201"/>
    <x v="9"/>
    <s v="01283213443"/>
    <x v="1"/>
    <x v="2"/>
    <x v="4"/>
    <x v="7"/>
    <x v="4"/>
    <n v="730907"/>
    <x v="0"/>
    <x v="1"/>
    <x v="2"/>
  </r>
  <r>
    <n v="228"/>
    <x v="202"/>
    <x v="9"/>
    <s v="01156307573"/>
    <x v="4"/>
    <x v="3"/>
    <x v="5"/>
    <x v="5"/>
    <x v="0"/>
    <n v="667206"/>
    <x v="2"/>
    <x v="1"/>
    <x v="2"/>
  </r>
  <r>
    <n v="229"/>
    <x v="203"/>
    <x v="0"/>
    <s v="01294322143"/>
    <x v="2"/>
    <x v="2"/>
    <x v="0"/>
    <x v="7"/>
    <x v="3"/>
    <n v="1951080"/>
    <x v="2"/>
    <x v="0"/>
    <x v="3"/>
  </r>
  <r>
    <n v="230"/>
    <x v="204"/>
    <x v="2"/>
    <s v="01283719206"/>
    <x v="3"/>
    <x v="8"/>
    <x v="1"/>
    <x v="7"/>
    <x v="3"/>
    <n v="969267"/>
    <x v="0"/>
    <x v="1"/>
    <x v="3"/>
  </r>
  <r>
    <n v="231"/>
    <x v="205"/>
    <x v="5"/>
    <s v="01109648116"/>
    <x v="1"/>
    <x v="3"/>
    <x v="2"/>
    <x v="7"/>
    <x v="0"/>
    <n v="907364"/>
    <x v="2"/>
    <x v="1"/>
    <x v="2"/>
  </r>
  <r>
    <n v="232"/>
    <x v="96"/>
    <x v="4"/>
    <s v="01185932082"/>
    <x v="1"/>
    <x v="2"/>
    <x v="3"/>
    <x v="7"/>
    <x v="0"/>
    <n v="1133501"/>
    <x v="1"/>
    <x v="0"/>
    <x v="3"/>
  </r>
  <r>
    <n v="233"/>
    <x v="8"/>
    <x v="1"/>
    <s v="01143236131"/>
    <x v="4"/>
    <x v="7"/>
    <x v="4"/>
    <x v="5"/>
    <x v="3"/>
    <n v="1815712"/>
    <x v="0"/>
    <x v="0"/>
    <x v="1"/>
  </r>
  <r>
    <n v="234"/>
    <x v="206"/>
    <x v="8"/>
    <s v="01212658714"/>
    <x v="3"/>
    <x v="3"/>
    <x v="5"/>
    <x v="9"/>
    <x v="3"/>
    <n v="1238071"/>
    <x v="1"/>
    <x v="0"/>
    <x v="3"/>
  </r>
  <r>
    <n v="235"/>
    <x v="207"/>
    <x v="3"/>
    <s v="01245816181"/>
    <x v="0"/>
    <x v="2"/>
    <x v="0"/>
    <x v="6"/>
    <x v="3"/>
    <n v="1097974"/>
    <x v="0"/>
    <x v="0"/>
    <x v="0"/>
  </r>
  <r>
    <n v="236"/>
    <x v="208"/>
    <x v="8"/>
    <s v="01298192803"/>
    <x v="3"/>
    <x v="7"/>
    <x v="1"/>
    <x v="4"/>
    <x v="4"/>
    <n v="1868548"/>
    <x v="1"/>
    <x v="1"/>
    <x v="3"/>
  </r>
  <r>
    <n v="237"/>
    <x v="209"/>
    <x v="5"/>
    <s v="01297385515"/>
    <x v="0"/>
    <x v="5"/>
    <x v="2"/>
    <x v="4"/>
    <x v="2"/>
    <n v="923234"/>
    <x v="0"/>
    <x v="0"/>
    <x v="4"/>
  </r>
  <r>
    <n v="238"/>
    <x v="210"/>
    <x v="2"/>
    <s v="01266986514"/>
    <x v="4"/>
    <x v="7"/>
    <x v="3"/>
    <x v="9"/>
    <x v="1"/>
    <n v="1118057"/>
    <x v="2"/>
    <x v="1"/>
    <x v="4"/>
  </r>
  <r>
    <n v="239"/>
    <x v="211"/>
    <x v="0"/>
    <s v="01268843411"/>
    <x v="0"/>
    <x v="4"/>
    <x v="4"/>
    <x v="9"/>
    <x v="0"/>
    <n v="1589848"/>
    <x v="1"/>
    <x v="1"/>
    <x v="4"/>
  </r>
  <r>
    <n v="240"/>
    <x v="206"/>
    <x v="1"/>
    <s v="01241564434"/>
    <x v="1"/>
    <x v="4"/>
    <x v="5"/>
    <x v="6"/>
    <x v="2"/>
    <n v="661722"/>
    <x v="2"/>
    <x v="1"/>
    <x v="3"/>
  </r>
  <r>
    <n v="241"/>
    <x v="61"/>
    <x v="1"/>
    <s v="01265794077"/>
    <x v="3"/>
    <x v="5"/>
    <x v="0"/>
    <x v="6"/>
    <x v="1"/>
    <n v="374956"/>
    <x v="2"/>
    <x v="0"/>
    <x v="3"/>
  </r>
  <r>
    <n v="242"/>
    <x v="81"/>
    <x v="8"/>
    <s v="01225633775"/>
    <x v="4"/>
    <x v="5"/>
    <x v="1"/>
    <x v="4"/>
    <x v="5"/>
    <n v="481368"/>
    <x v="1"/>
    <x v="1"/>
    <x v="2"/>
  </r>
  <r>
    <n v="243"/>
    <x v="212"/>
    <x v="1"/>
    <s v="01239977662"/>
    <x v="1"/>
    <x v="8"/>
    <x v="2"/>
    <x v="7"/>
    <x v="3"/>
    <n v="1157490"/>
    <x v="1"/>
    <x v="0"/>
    <x v="3"/>
  </r>
  <r>
    <n v="244"/>
    <x v="213"/>
    <x v="1"/>
    <s v="01230525758"/>
    <x v="4"/>
    <x v="2"/>
    <x v="3"/>
    <x v="1"/>
    <x v="4"/>
    <n v="886558"/>
    <x v="2"/>
    <x v="0"/>
    <x v="0"/>
  </r>
  <r>
    <n v="245"/>
    <x v="214"/>
    <x v="6"/>
    <s v="01129853275"/>
    <x v="4"/>
    <x v="6"/>
    <x v="4"/>
    <x v="9"/>
    <x v="2"/>
    <n v="1410210"/>
    <x v="2"/>
    <x v="1"/>
    <x v="0"/>
  </r>
  <r>
    <n v="246"/>
    <x v="147"/>
    <x v="6"/>
    <s v="01123093747"/>
    <x v="2"/>
    <x v="8"/>
    <x v="5"/>
    <x v="7"/>
    <x v="2"/>
    <n v="824724"/>
    <x v="1"/>
    <x v="0"/>
    <x v="3"/>
  </r>
  <r>
    <n v="247"/>
    <x v="215"/>
    <x v="1"/>
    <s v="01215942614"/>
    <x v="0"/>
    <x v="8"/>
    <x v="0"/>
    <x v="2"/>
    <x v="5"/>
    <n v="1663021"/>
    <x v="0"/>
    <x v="0"/>
    <x v="3"/>
  </r>
  <r>
    <n v="248"/>
    <x v="216"/>
    <x v="5"/>
    <s v="01288382390"/>
    <x v="2"/>
    <x v="7"/>
    <x v="1"/>
    <x v="4"/>
    <x v="2"/>
    <n v="1487445"/>
    <x v="1"/>
    <x v="0"/>
    <x v="1"/>
  </r>
  <r>
    <n v="249"/>
    <x v="217"/>
    <x v="5"/>
    <s v="01259583131"/>
    <x v="1"/>
    <x v="9"/>
    <x v="2"/>
    <x v="4"/>
    <x v="2"/>
    <n v="392336"/>
    <x v="0"/>
    <x v="1"/>
    <x v="3"/>
  </r>
  <r>
    <n v="250"/>
    <x v="48"/>
    <x v="1"/>
    <s v="01141029722"/>
    <x v="3"/>
    <x v="4"/>
    <x v="3"/>
    <x v="0"/>
    <x v="1"/>
    <n v="1908060"/>
    <x v="1"/>
    <x v="0"/>
    <x v="2"/>
  </r>
  <r>
    <n v="251"/>
    <x v="84"/>
    <x v="5"/>
    <s v="01208256546"/>
    <x v="4"/>
    <x v="3"/>
    <x v="4"/>
    <x v="2"/>
    <x v="0"/>
    <n v="474396"/>
    <x v="2"/>
    <x v="1"/>
    <x v="4"/>
  </r>
  <r>
    <n v="252"/>
    <x v="218"/>
    <x v="1"/>
    <s v="01294685660"/>
    <x v="1"/>
    <x v="8"/>
    <x v="5"/>
    <x v="1"/>
    <x v="4"/>
    <n v="444555"/>
    <x v="0"/>
    <x v="1"/>
    <x v="2"/>
  </r>
  <r>
    <n v="253"/>
    <x v="219"/>
    <x v="2"/>
    <s v="01130736405"/>
    <x v="4"/>
    <x v="0"/>
    <x v="0"/>
    <x v="5"/>
    <x v="3"/>
    <n v="882289"/>
    <x v="0"/>
    <x v="1"/>
    <x v="1"/>
  </r>
  <r>
    <n v="254"/>
    <x v="139"/>
    <x v="5"/>
    <s v="01275639670"/>
    <x v="1"/>
    <x v="1"/>
    <x v="1"/>
    <x v="9"/>
    <x v="1"/>
    <n v="1904508"/>
    <x v="1"/>
    <x v="0"/>
    <x v="0"/>
  </r>
  <r>
    <n v="255"/>
    <x v="220"/>
    <x v="0"/>
    <s v="01214455938"/>
    <x v="2"/>
    <x v="8"/>
    <x v="2"/>
    <x v="1"/>
    <x v="3"/>
    <n v="1737495"/>
    <x v="0"/>
    <x v="1"/>
    <x v="4"/>
  </r>
  <r>
    <n v="256"/>
    <x v="221"/>
    <x v="8"/>
    <s v="01163577021"/>
    <x v="2"/>
    <x v="0"/>
    <x v="3"/>
    <x v="3"/>
    <x v="2"/>
    <n v="1948346"/>
    <x v="0"/>
    <x v="0"/>
    <x v="1"/>
  </r>
  <r>
    <n v="257"/>
    <x v="222"/>
    <x v="3"/>
    <s v="01249566562"/>
    <x v="2"/>
    <x v="6"/>
    <x v="4"/>
    <x v="2"/>
    <x v="2"/>
    <n v="964007"/>
    <x v="1"/>
    <x v="0"/>
    <x v="2"/>
  </r>
  <r>
    <n v="258"/>
    <x v="223"/>
    <x v="8"/>
    <s v="01280271754"/>
    <x v="4"/>
    <x v="8"/>
    <x v="5"/>
    <x v="4"/>
    <x v="1"/>
    <n v="1225932"/>
    <x v="0"/>
    <x v="0"/>
    <x v="3"/>
  </r>
  <r>
    <n v="259"/>
    <x v="72"/>
    <x v="6"/>
    <s v="01163626391"/>
    <x v="3"/>
    <x v="9"/>
    <x v="0"/>
    <x v="0"/>
    <x v="3"/>
    <n v="1887870"/>
    <x v="2"/>
    <x v="0"/>
    <x v="0"/>
  </r>
  <r>
    <n v="260"/>
    <x v="224"/>
    <x v="0"/>
    <s v="01158743887"/>
    <x v="3"/>
    <x v="1"/>
    <x v="1"/>
    <x v="1"/>
    <x v="1"/>
    <n v="676490"/>
    <x v="2"/>
    <x v="0"/>
    <x v="0"/>
  </r>
  <r>
    <n v="261"/>
    <x v="134"/>
    <x v="3"/>
    <s v="01233771608"/>
    <x v="1"/>
    <x v="4"/>
    <x v="2"/>
    <x v="3"/>
    <x v="5"/>
    <n v="963549"/>
    <x v="0"/>
    <x v="1"/>
    <x v="1"/>
  </r>
  <r>
    <n v="262"/>
    <x v="225"/>
    <x v="1"/>
    <s v="01225650321"/>
    <x v="2"/>
    <x v="4"/>
    <x v="3"/>
    <x v="3"/>
    <x v="2"/>
    <n v="1446530"/>
    <x v="1"/>
    <x v="1"/>
    <x v="2"/>
  </r>
  <r>
    <n v="263"/>
    <x v="215"/>
    <x v="4"/>
    <s v="01184763541"/>
    <x v="0"/>
    <x v="5"/>
    <x v="4"/>
    <x v="2"/>
    <x v="4"/>
    <n v="1306905"/>
    <x v="1"/>
    <x v="0"/>
    <x v="3"/>
  </r>
  <r>
    <n v="264"/>
    <x v="226"/>
    <x v="4"/>
    <s v="01293997756"/>
    <x v="1"/>
    <x v="0"/>
    <x v="5"/>
    <x v="0"/>
    <x v="5"/>
    <n v="427837"/>
    <x v="1"/>
    <x v="1"/>
    <x v="4"/>
  </r>
  <r>
    <n v="265"/>
    <x v="7"/>
    <x v="8"/>
    <s v="01132197730"/>
    <x v="1"/>
    <x v="4"/>
    <x v="0"/>
    <x v="5"/>
    <x v="4"/>
    <n v="898552"/>
    <x v="1"/>
    <x v="0"/>
    <x v="2"/>
  </r>
  <r>
    <n v="266"/>
    <x v="227"/>
    <x v="3"/>
    <s v="01116115142"/>
    <x v="1"/>
    <x v="8"/>
    <x v="1"/>
    <x v="4"/>
    <x v="0"/>
    <n v="1271595"/>
    <x v="2"/>
    <x v="0"/>
    <x v="0"/>
  </r>
  <r>
    <n v="267"/>
    <x v="135"/>
    <x v="5"/>
    <s v="01123552546"/>
    <x v="1"/>
    <x v="8"/>
    <x v="2"/>
    <x v="4"/>
    <x v="2"/>
    <n v="1979131"/>
    <x v="0"/>
    <x v="0"/>
    <x v="1"/>
  </r>
  <r>
    <n v="268"/>
    <x v="228"/>
    <x v="5"/>
    <s v="01199260068"/>
    <x v="0"/>
    <x v="6"/>
    <x v="3"/>
    <x v="6"/>
    <x v="0"/>
    <n v="786592"/>
    <x v="2"/>
    <x v="1"/>
    <x v="3"/>
  </r>
  <r>
    <n v="269"/>
    <x v="229"/>
    <x v="3"/>
    <s v="01139210326"/>
    <x v="0"/>
    <x v="2"/>
    <x v="4"/>
    <x v="7"/>
    <x v="4"/>
    <n v="1710491"/>
    <x v="1"/>
    <x v="0"/>
    <x v="2"/>
  </r>
  <r>
    <n v="270"/>
    <x v="230"/>
    <x v="2"/>
    <s v="01238288143"/>
    <x v="3"/>
    <x v="3"/>
    <x v="5"/>
    <x v="0"/>
    <x v="4"/>
    <n v="1169194"/>
    <x v="2"/>
    <x v="0"/>
    <x v="2"/>
  </r>
  <r>
    <n v="271"/>
    <x v="46"/>
    <x v="5"/>
    <s v="01106717774"/>
    <x v="1"/>
    <x v="4"/>
    <x v="0"/>
    <x v="5"/>
    <x v="5"/>
    <n v="1607918"/>
    <x v="2"/>
    <x v="0"/>
    <x v="2"/>
  </r>
  <r>
    <n v="272"/>
    <x v="231"/>
    <x v="2"/>
    <s v="01156247696"/>
    <x v="0"/>
    <x v="9"/>
    <x v="1"/>
    <x v="5"/>
    <x v="2"/>
    <n v="1873152"/>
    <x v="0"/>
    <x v="0"/>
    <x v="3"/>
  </r>
  <r>
    <n v="273"/>
    <x v="232"/>
    <x v="8"/>
    <s v="01215701497"/>
    <x v="2"/>
    <x v="1"/>
    <x v="2"/>
    <x v="5"/>
    <x v="0"/>
    <n v="1601578"/>
    <x v="1"/>
    <x v="0"/>
    <x v="0"/>
  </r>
  <r>
    <n v="274"/>
    <x v="233"/>
    <x v="7"/>
    <s v="01163122752"/>
    <x v="2"/>
    <x v="8"/>
    <x v="3"/>
    <x v="3"/>
    <x v="3"/>
    <n v="935883"/>
    <x v="2"/>
    <x v="0"/>
    <x v="2"/>
  </r>
  <r>
    <n v="275"/>
    <x v="234"/>
    <x v="9"/>
    <s v="01108650081"/>
    <x v="0"/>
    <x v="5"/>
    <x v="4"/>
    <x v="9"/>
    <x v="4"/>
    <n v="1095915"/>
    <x v="2"/>
    <x v="0"/>
    <x v="1"/>
  </r>
  <r>
    <n v="276"/>
    <x v="235"/>
    <x v="6"/>
    <s v="01118186309"/>
    <x v="3"/>
    <x v="4"/>
    <x v="5"/>
    <x v="0"/>
    <x v="3"/>
    <n v="406275"/>
    <x v="1"/>
    <x v="0"/>
    <x v="2"/>
  </r>
  <r>
    <n v="277"/>
    <x v="14"/>
    <x v="2"/>
    <s v="01188185622"/>
    <x v="4"/>
    <x v="8"/>
    <x v="0"/>
    <x v="6"/>
    <x v="4"/>
    <n v="1053864"/>
    <x v="2"/>
    <x v="1"/>
    <x v="2"/>
  </r>
  <r>
    <n v="278"/>
    <x v="236"/>
    <x v="4"/>
    <s v="01265622400"/>
    <x v="1"/>
    <x v="7"/>
    <x v="1"/>
    <x v="1"/>
    <x v="4"/>
    <n v="881181"/>
    <x v="0"/>
    <x v="1"/>
    <x v="1"/>
  </r>
  <r>
    <n v="279"/>
    <x v="237"/>
    <x v="5"/>
    <s v="01211855681"/>
    <x v="3"/>
    <x v="2"/>
    <x v="2"/>
    <x v="1"/>
    <x v="2"/>
    <n v="1058440"/>
    <x v="0"/>
    <x v="1"/>
    <x v="2"/>
  </r>
  <r>
    <n v="280"/>
    <x v="238"/>
    <x v="4"/>
    <s v="01167594221"/>
    <x v="0"/>
    <x v="3"/>
    <x v="3"/>
    <x v="7"/>
    <x v="4"/>
    <n v="1081726"/>
    <x v="0"/>
    <x v="0"/>
    <x v="1"/>
  </r>
  <r>
    <n v="281"/>
    <x v="239"/>
    <x v="5"/>
    <s v="01258014181"/>
    <x v="4"/>
    <x v="0"/>
    <x v="4"/>
    <x v="7"/>
    <x v="0"/>
    <n v="891922"/>
    <x v="0"/>
    <x v="0"/>
    <x v="3"/>
  </r>
  <r>
    <n v="282"/>
    <x v="240"/>
    <x v="0"/>
    <s v="01168503411"/>
    <x v="1"/>
    <x v="3"/>
    <x v="5"/>
    <x v="3"/>
    <x v="0"/>
    <n v="1025565"/>
    <x v="0"/>
    <x v="0"/>
    <x v="1"/>
  </r>
  <r>
    <n v="283"/>
    <x v="113"/>
    <x v="9"/>
    <s v="01246528203"/>
    <x v="2"/>
    <x v="1"/>
    <x v="0"/>
    <x v="5"/>
    <x v="4"/>
    <n v="402915"/>
    <x v="1"/>
    <x v="0"/>
    <x v="3"/>
  </r>
  <r>
    <n v="284"/>
    <x v="241"/>
    <x v="4"/>
    <s v="01231261475"/>
    <x v="4"/>
    <x v="7"/>
    <x v="1"/>
    <x v="4"/>
    <x v="0"/>
    <n v="1165512"/>
    <x v="2"/>
    <x v="1"/>
    <x v="0"/>
  </r>
  <r>
    <n v="285"/>
    <x v="242"/>
    <x v="2"/>
    <s v="01164509922"/>
    <x v="4"/>
    <x v="7"/>
    <x v="2"/>
    <x v="3"/>
    <x v="4"/>
    <n v="1388544"/>
    <x v="0"/>
    <x v="1"/>
    <x v="2"/>
  </r>
  <r>
    <n v="286"/>
    <x v="243"/>
    <x v="0"/>
    <s v="01157118080"/>
    <x v="4"/>
    <x v="5"/>
    <x v="3"/>
    <x v="4"/>
    <x v="3"/>
    <n v="1918532"/>
    <x v="2"/>
    <x v="1"/>
    <x v="0"/>
  </r>
  <r>
    <n v="287"/>
    <x v="244"/>
    <x v="9"/>
    <s v="01257868413"/>
    <x v="0"/>
    <x v="8"/>
    <x v="4"/>
    <x v="0"/>
    <x v="1"/>
    <n v="1037737"/>
    <x v="0"/>
    <x v="1"/>
    <x v="3"/>
  </r>
  <r>
    <n v="288"/>
    <x v="245"/>
    <x v="8"/>
    <s v="01146449534"/>
    <x v="3"/>
    <x v="0"/>
    <x v="5"/>
    <x v="1"/>
    <x v="1"/>
    <n v="422899"/>
    <x v="0"/>
    <x v="0"/>
    <x v="2"/>
  </r>
  <r>
    <n v="289"/>
    <x v="246"/>
    <x v="1"/>
    <s v="01283314524"/>
    <x v="0"/>
    <x v="0"/>
    <x v="0"/>
    <x v="2"/>
    <x v="3"/>
    <n v="1380415"/>
    <x v="1"/>
    <x v="1"/>
    <x v="3"/>
  </r>
  <r>
    <n v="290"/>
    <x v="247"/>
    <x v="0"/>
    <s v="01272235306"/>
    <x v="2"/>
    <x v="5"/>
    <x v="1"/>
    <x v="8"/>
    <x v="5"/>
    <n v="448763"/>
    <x v="2"/>
    <x v="0"/>
    <x v="3"/>
  </r>
  <r>
    <n v="291"/>
    <x v="248"/>
    <x v="0"/>
    <s v="01172250478"/>
    <x v="3"/>
    <x v="9"/>
    <x v="2"/>
    <x v="4"/>
    <x v="4"/>
    <n v="917025"/>
    <x v="1"/>
    <x v="1"/>
    <x v="2"/>
  </r>
  <r>
    <n v="292"/>
    <x v="172"/>
    <x v="1"/>
    <s v="01258282261"/>
    <x v="0"/>
    <x v="6"/>
    <x v="3"/>
    <x v="6"/>
    <x v="0"/>
    <n v="866322"/>
    <x v="0"/>
    <x v="1"/>
    <x v="3"/>
  </r>
  <r>
    <n v="293"/>
    <x v="249"/>
    <x v="1"/>
    <s v="01128305140"/>
    <x v="2"/>
    <x v="8"/>
    <x v="4"/>
    <x v="1"/>
    <x v="3"/>
    <n v="616486"/>
    <x v="1"/>
    <x v="1"/>
    <x v="0"/>
  </r>
  <r>
    <n v="294"/>
    <x v="250"/>
    <x v="6"/>
    <s v="01283024604"/>
    <x v="0"/>
    <x v="3"/>
    <x v="5"/>
    <x v="2"/>
    <x v="4"/>
    <n v="690945"/>
    <x v="2"/>
    <x v="1"/>
    <x v="4"/>
  </r>
  <r>
    <n v="295"/>
    <x v="251"/>
    <x v="9"/>
    <s v="01208071595"/>
    <x v="3"/>
    <x v="3"/>
    <x v="0"/>
    <x v="1"/>
    <x v="1"/>
    <n v="492340"/>
    <x v="0"/>
    <x v="1"/>
    <x v="4"/>
  </r>
  <r>
    <n v="296"/>
    <x v="71"/>
    <x v="1"/>
    <s v="01124807062"/>
    <x v="4"/>
    <x v="3"/>
    <x v="1"/>
    <x v="5"/>
    <x v="0"/>
    <n v="1486958"/>
    <x v="0"/>
    <x v="1"/>
    <x v="3"/>
  </r>
  <r>
    <n v="297"/>
    <x v="252"/>
    <x v="3"/>
    <s v="01102783626"/>
    <x v="3"/>
    <x v="9"/>
    <x v="2"/>
    <x v="8"/>
    <x v="4"/>
    <n v="323865"/>
    <x v="2"/>
    <x v="0"/>
    <x v="1"/>
  </r>
  <r>
    <n v="298"/>
    <x v="229"/>
    <x v="7"/>
    <s v="01115696528"/>
    <x v="4"/>
    <x v="1"/>
    <x v="3"/>
    <x v="4"/>
    <x v="2"/>
    <n v="1545695"/>
    <x v="2"/>
    <x v="0"/>
    <x v="0"/>
  </r>
  <r>
    <n v="299"/>
    <x v="253"/>
    <x v="4"/>
    <s v="01156606226"/>
    <x v="3"/>
    <x v="9"/>
    <x v="4"/>
    <x v="5"/>
    <x v="0"/>
    <n v="879643"/>
    <x v="2"/>
    <x v="1"/>
    <x v="3"/>
  </r>
  <r>
    <n v="300"/>
    <x v="193"/>
    <x v="2"/>
    <s v="01288642118"/>
    <x v="3"/>
    <x v="4"/>
    <x v="5"/>
    <x v="0"/>
    <x v="2"/>
    <n v="590270"/>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F2531-B226-420B-8141-4A660BBDD05D}"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AE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طريقة الدفع" fld="1"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mpossi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2D26C3-6D98-410E-88B3-8EA0F850F406}"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4" firstHeaderRow="1" firstDataRow="1" firstDataCol="2"/>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axis="axisRow"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compact="0" outline="0" showAll="0"/>
    <pivotField axis="axisRow" compact="0" outline="0" showAll="0">
      <items count="4">
        <item x="0"/>
        <item x="1"/>
        <item x="2"/>
        <item t="default"/>
      </items>
    </pivotField>
    <pivotField compact="0" outline="0" showAll="0"/>
    <pivotField compact="0" outline="0" showAll="0">
      <items count="6">
        <item x="1"/>
        <item x="4"/>
        <item x="0"/>
        <item x="2"/>
        <item x="3"/>
        <item t="default"/>
      </items>
    </pivotField>
  </pivotFields>
  <rowFields count="2">
    <field x="5"/>
    <field x="10"/>
  </rowFields>
  <rowItems count="41">
    <i>
      <x/>
      <x/>
    </i>
    <i r="1">
      <x v="1"/>
    </i>
    <i r="1">
      <x v="2"/>
    </i>
    <i t="default">
      <x/>
    </i>
    <i>
      <x v="1"/>
      <x/>
    </i>
    <i r="1">
      <x v="1"/>
    </i>
    <i r="1">
      <x v="2"/>
    </i>
    <i t="default">
      <x v="1"/>
    </i>
    <i>
      <x v="2"/>
      <x/>
    </i>
    <i r="1">
      <x v="1"/>
    </i>
    <i r="1">
      <x v="2"/>
    </i>
    <i t="default">
      <x v="2"/>
    </i>
    <i>
      <x v="3"/>
      <x/>
    </i>
    <i r="1">
      <x v="1"/>
    </i>
    <i r="1">
      <x v="2"/>
    </i>
    <i t="default">
      <x v="3"/>
    </i>
    <i>
      <x v="4"/>
      <x/>
    </i>
    <i r="1">
      <x v="1"/>
    </i>
    <i r="1">
      <x v="2"/>
    </i>
    <i t="default">
      <x v="4"/>
    </i>
    <i>
      <x v="5"/>
      <x/>
    </i>
    <i r="1">
      <x v="1"/>
    </i>
    <i r="1">
      <x v="2"/>
    </i>
    <i t="default">
      <x v="5"/>
    </i>
    <i>
      <x v="6"/>
      <x/>
    </i>
    <i r="1">
      <x v="1"/>
    </i>
    <i r="1">
      <x v="2"/>
    </i>
    <i t="default">
      <x v="6"/>
    </i>
    <i>
      <x v="7"/>
      <x/>
    </i>
    <i r="1">
      <x v="1"/>
    </i>
    <i r="1">
      <x v="2"/>
    </i>
    <i t="default">
      <x v="7"/>
    </i>
    <i>
      <x v="8"/>
      <x/>
    </i>
    <i r="1">
      <x v="1"/>
    </i>
    <i r="1">
      <x v="2"/>
    </i>
    <i t="default">
      <x v="8"/>
    </i>
    <i>
      <x v="9"/>
      <x/>
    </i>
    <i r="1">
      <x v="1"/>
    </i>
    <i r="1">
      <x v="2"/>
    </i>
    <i t="default">
      <x v="9"/>
    </i>
    <i t="grand">
      <x/>
    </i>
  </rowItems>
  <colItems count="1">
    <i/>
  </colItems>
  <formats count="16">
    <format dxfId="15">
      <pivotArea type="all" dataOnly="0" outline="0" fieldPosition="0"/>
    </format>
    <format dxfId="14">
      <pivotArea field="5" type="button" dataOnly="0" labelOnly="1" outline="0" axis="axisRow" fieldPosition="0"/>
    </format>
    <format dxfId="13">
      <pivotArea field="10" type="button" dataOnly="0" labelOnly="1" outline="0" axis="axisRow" fieldPosition="1"/>
    </format>
    <format dxfId="12">
      <pivotArea dataOnly="0" labelOnly="1" outline="0" fieldPosition="0">
        <references count="1">
          <reference field="5" count="0"/>
        </references>
      </pivotArea>
    </format>
    <format dxfId="11">
      <pivotArea dataOnly="0" labelOnly="1" outline="0" fieldPosition="0">
        <references count="1">
          <reference field="5" count="0" defaultSubtotal="1"/>
        </references>
      </pivotArea>
    </format>
    <format dxfId="10">
      <pivotArea dataOnly="0" labelOnly="1" grandRow="1" outline="0" fieldPosition="0"/>
    </format>
    <format dxfId="9">
      <pivotArea dataOnly="0" labelOnly="1" outline="0" fieldPosition="0">
        <references count="2">
          <reference field="5" count="1" selected="0">
            <x v="0"/>
          </reference>
          <reference field="10" count="0"/>
        </references>
      </pivotArea>
    </format>
    <format dxfId="8">
      <pivotArea dataOnly="0" labelOnly="1" outline="0" fieldPosition="0">
        <references count="2">
          <reference field="5" count="1" selected="0">
            <x v="1"/>
          </reference>
          <reference field="10" count="0"/>
        </references>
      </pivotArea>
    </format>
    <format dxfId="7">
      <pivotArea dataOnly="0" labelOnly="1" outline="0" fieldPosition="0">
        <references count="2">
          <reference field="5" count="1" selected="0">
            <x v="2"/>
          </reference>
          <reference field="10" count="0"/>
        </references>
      </pivotArea>
    </format>
    <format dxfId="6">
      <pivotArea dataOnly="0" labelOnly="1" outline="0" fieldPosition="0">
        <references count="2">
          <reference field="5" count="1" selected="0">
            <x v="3"/>
          </reference>
          <reference field="10" count="0"/>
        </references>
      </pivotArea>
    </format>
    <format dxfId="5">
      <pivotArea dataOnly="0" labelOnly="1" outline="0" fieldPosition="0">
        <references count="2">
          <reference field="5" count="1" selected="0">
            <x v="4"/>
          </reference>
          <reference field="10" count="0"/>
        </references>
      </pivotArea>
    </format>
    <format dxfId="4">
      <pivotArea dataOnly="0" labelOnly="1" outline="0" fieldPosition="0">
        <references count="2">
          <reference field="5" count="1" selected="0">
            <x v="5"/>
          </reference>
          <reference field="10" count="0"/>
        </references>
      </pivotArea>
    </format>
    <format dxfId="3">
      <pivotArea dataOnly="0" labelOnly="1" outline="0" fieldPosition="0">
        <references count="2">
          <reference field="5" count="1" selected="0">
            <x v="6"/>
          </reference>
          <reference field="10" count="0"/>
        </references>
      </pivotArea>
    </format>
    <format dxfId="2">
      <pivotArea dataOnly="0" labelOnly="1" outline="0" fieldPosition="0">
        <references count="2">
          <reference field="5" count="1" selected="0">
            <x v="7"/>
          </reference>
          <reference field="10" count="0"/>
        </references>
      </pivotArea>
    </format>
    <format dxfId="1">
      <pivotArea dataOnly="0" labelOnly="1" outline="0" fieldPosition="0">
        <references count="2">
          <reference field="5" count="1" selected="0">
            <x v="8"/>
          </reference>
          <reference field="10" count="0"/>
        </references>
      </pivotArea>
    </format>
    <format dxfId="0">
      <pivotArea dataOnly="0" labelOnly="1" outline="0" fieldPosition="0">
        <references count="2">
          <reference field="5" count="1" selected="0">
            <x v="9"/>
          </reference>
          <reference field="10"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893964-6C6A-4001-8447-7C71D93B6AE6}" name="PivotTable1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A3:AB9" firstHeaderRow="1" firstDataRow="1" firstDataCol="1"/>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dataField="1" compact="0" outline="0" showAll="0"/>
    <pivotField compact="0" outline="0" showAll="0">
      <items count="4">
        <item x="0"/>
        <item x="1"/>
        <item x="2"/>
        <item t="default"/>
      </items>
    </pivotField>
    <pivotField compact="0" outline="0" showAll="0"/>
    <pivotField axis="axisRow" compact="0" outline="0" showAll="0">
      <items count="6">
        <item x="1"/>
        <item x="4"/>
        <item x="0"/>
        <item x="2"/>
        <item x="3"/>
        <item t="default"/>
      </items>
    </pivotField>
  </pivotFields>
  <rowFields count="1">
    <field x="12"/>
  </rowFields>
  <rowItems count="6">
    <i>
      <x/>
    </i>
    <i>
      <x v="1"/>
    </i>
    <i>
      <x v="2"/>
    </i>
    <i>
      <x v="3"/>
    </i>
    <i>
      <x v="4"/>
    </i>
    <i t="grand">
      <x/>
    </i>
  </rowItems>
  <colItems count="1">
    <i/>
  </colItems>
  <dataFields count="1">
    <dataField name="Sum of سعر البيع" fld="9" baseField="0" baseItem="0"/>
  </dataFields>
  <formats count="5">
    <format dxfId="20">
      <pivotArea type="all" dataOnly="0" outline="0" fieldPosition="0"/>
    </format>
    <format dxfId="19">
      <pivotArea outline="0" collapsedLevelsAreSubtotals="1" fieldPosition="0"/>
    </format>
    <format dxfId="18">
      <pivotArea field="2" type="button" dataOnly="0" labelOnly="1" outline="0"/>
    </format>
    <format dxfId="17">
      <pivotArea dataOnly="0" labelOnly="1" grandRow="1" outline="0" fieldPosition="0"/>
    </format>
    <format dxfId="16">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CBF362-6E1D-4FB7-A24B-EB7BD2623078}" name="ه"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X3:Y14" firstHeaderRow="1" firstDataRow="1" firstDataCol="1"/>
  <pivotFields count="13">
    <pivotField compact="0" outline="0" showAll="0"/>
    <pivotField axis="axisRow" compact="0" outline="0" showAll="0" measureFilter="1">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dataField="1" compact="0" outline="0" showAll="0"/>
    <pivotField compact="0" outline="0" showAll="0">
      <items count="4">
        <item x="0"/>
        <item x="1"/>
        <item x="2"/>
        <item t="default"/>
      </items>
    </pivotField>
    <pivotField compact="0" outline="0" showAll="0"/>
    <pivotField compact="0" outline="0" showAll="0">
      <items count="6">
        <item x="1"/>
        <item x="4"/>
        <item x="0"/>
        <item x="2"/>
        <item x="3"/>
        <item t="default"/>
      </items>
    </pivotField>
  </pivotFields>
  <rowFields count="1">
    <field x="1"/>
  </rowFields>
  <rowItems count="11">
    <i>
      <x v="7"/>
    </i>
    <i>
      <x v="43"/>
    </i>
    <i>
      <x v="110"/>
    </i>
    <i>
      <x v="129"/>
    </i>
    <i>
      <x v="136"/>
    </i>
    <i>
      <x v="139"/>
    </i>
    <i>
      <x v="155"/>
    </i>
    <i>
      <x v="183"/>
    </i>
    <i>
      <x v="186"/>
    </i>
    <i>
      <x v="223"/>
    </i>
    <i t="grand">
      <x/>
    </i>
  </rowItems>
  <colItems count="1">
    <i/>
  </colItems>
  <dataFields count="1">
    <dataField name="Sum of سعر البيع" fld="9" baseField="0" baseItem="0"/>
  </dataFields>
  <formats count="5">
    <format dxfId="25">
      <pivotArea type="all" dataOnly="0" outline="0" fieldPosition="0"/>
    </format>
    <format dxfId="24">
      <pivotArea outline="0" collapsedLevelsAreSubtotals="1" fieldPosition="0"/>
    </format>
    <format dxfId="23">
      <pivotArea field="2" type="button" dataOnly="0" labelOnly="1" outline="0"/>
    </format>
    <format dxfId="22">
      <pivotArea dataOnly="0" labelOnly="1" grandRow="1" outline="0" fieldPosition="0"/>
    </format>
    <format dxfId="21">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266111-B144-44A6-A0E6-B021AE8D74BE}" name="PivotTable10"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Q3:R9" firstHeaderRow="1" firstDataRow="1" firstDataCol="1"/>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axis="axisRow" compact="0" outline="0" showAll="0">
      <items count="6">
        <item x="2"/>
        <item x="0"/>
        <item x="3"/>
        <item x="4"/>
        <item x="1"/>
        <item t="default"/>
      </items>
    </pivotField>
    <pivotField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compact="0" outline="0" showAll="0"/>
    <pivotField dataField="1" compact="0" outline="0" showAll="0">
      <items count="4">
        <item x="0"/>
        <item x="1"/>
        <item x="2"/>
        <item t="default"/>
      </items>
    </pivotField>
    <pivotField compact="0" outline="0" showAll="0"/>
    <pivotField compact="0" outline="0" showAll="0">
      <items count="6">
        <item x="1"/>
        <item x="4"/>
        <item x="0"/>
        <item x="2"/>
        <item x="3"/>
        <item t="default"/>
      </items>
    </pivotField>
  </pivotFields>
  <rowFields count="1">
    <field x="4"/>
  </rowFields>
  <rowItems count="6">
    <i>
      <x/>
    </i>
    <i>
      <x v="1"/>
    </i>
    <i>
      <x v="2"/>
    </i>
    <i>
      <x v="3"/>
    </i>
    <i>
      <x v="4"/>
    </i>
    <i t="grand">
      <x/>
    </i>
  </rowItems>
  <colItems count="1">
    <i/>
  </colItems>
  <dataFields count="1">
    <dataField name="Count of طريقة الدفع" fld="10" subtotal="count" baseField="0" baseItem="0"/>
  </dataFields>
  <formats count="5">
    <format dxfId="30">
      <pivotArea type="all" dataOnly="0" outline="0" fieldPosition="0"/>
    </format>
    <format dxfId="29">
      <pivotArea outline="0" collapsedLevelsAreSubtotals="1" fieldPosition="0"/>
    </format>
    <format dxfId="28">
      <pivotArea field="2" type="button" dataOnly="0" labelOnly="1" outline="0"/>
    </format>
    <format dxfId="27">
      <pivotArea dataOnly="0" labelOnly="1" grandRow="1" outline="0" fieldPosition="0"/>
    </format>
    <format dxfId="26">
      <pivotArea dataOnly="0" labelOnly="1" outline="0" axis="axisValues" fieldPosition="0"/>
    </format>
  </formats>
  <chartFormats count="6">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 chart="7" format="15">
      <pivotArea type="data" outline="0" fieldPosition="0">
        <references count="2">
          <reference field="4294967294" count="1" selected="0">
            <x v="0"/>
          </reference>
          <reference field="4" count="1" selected="0">
            <x v="2"/>
          </reference>
        </references>
      </pivotArea>
    </chartFormat>
    <chartFormat chart="7" format="16">
      <pivotArea type="data" outline="0" fieldPosition="0">
        <references count="2">
          <reference field="4294967294" count="1" selected="0">
            <x v="0"/>
          </reference>
          <reference field="4" count="1" selected="0">
            <x v="3"/>
          </reference>
        </references>
      </pivotArea>
    </chartFormat>
    <chartFormat chart="7" format="17">
      <pivotArea type="data" outline="0" fieldPosition="0">
        <references count="2">
          <reference field="4294967294" count="1" selected="0">
            <x v="0"/>
          </reference>
          <reference field="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3F2E7E-7095-4590-A21F-2BDFE23FC9B7}" name="PivotTable1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T3:V74" firstHeaderRow="1" firstDataRow="1" firstDataCol="2"/>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axis="axisRow" compact="0" outline="0" showAll="0">
      <items count="11">
        <item x="3"/>
        <item x="9"/>
        <item x="6"/>
        <item x="8"/>
        <item x="7"/>
        <item x="1"/>
        <item x="4"/>
        <item x="2"/>
        <item x="0"/>
        <item x="5"/>
        <item t="default"/>
      </items>
    </pivotField>
    <pivotField axis="axisRow"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dataField="1" compact="0" outline="0" showAll="0"/>
    <pivotField compact="0" outline="0" showAll="0">
      <items count="4">
        <item x="0"/>
        <item x="1"/>
        <item x="2"/>
        <item t="default"/>
      </items>
    </pivotField>
    <pivotField compact="0" outline="0" showAll="0"/>
    <pivotField compact="0" outline="0" showAll="0">
      <items count="6">
        <item x="1"/>
        <item x="4"/>
        <item x="0"/>
        <item x="2"/>
        <item x="3"/>
        <item t="default"/>
      </items>
    </pivotField>
  </pivotFields>
  <rowFields count="2">
    <field x="5"/>
    <field x="6"/>
  </rowFields>
  <rowItems count="71">
    <i>
      <x/>
      <x/>
    </i>
    <i r="1">
      <x v="1"/>
    </i>
    <i r="1">
      <x v="2"/>
    </i>
    <i r="1">
      <x v="3"/>
    </i>
    <i r="1">
      <x v="4"/>
    </i>
    <i r="1">
      <x v="5"/>
    </i>
    <i t="default">
      <x/>
    </i>
    <i>
      <x v="1"/>
      <x/>
    </i>
    <i r="1">
      <x v="1"/>
    </i>
    <i r="1">
      <x v="2"/>
    </i>
    <i r="1">
      <x v="3"/>
    </i>
    <i r="1">
      <x v="4"/>
    </i>
    <i r="1">
      <x v="5"/>
    </i>
    <i t="default">
      <x v="1"/>
    </i>
    <i>
      <x v="2"/>
      <x/>
    </i>
    <i r="1">
      <x v="1"/>
    </i>
    <i r="1">
      <x v="2"/>
    </i>
    <i r="1">
      <x v="3"/>
    </i>
    <i r="1">
      <x v="4"/>
    </i>
    <i r="1">
      <x v="5"/>
    </i>
    <i t="default">
      <x v="2"/>
    </i>
    <i>
      <x v="3"/>
      <x/>
    </i>
    <i r="1">
      <x v="1"/>
    </i>
    <i r="1">
      <x v="2"/>
    </i>
    <i r="1">
      <x v="3"/>
    </i>
    <i r="1">
      <x v="4"/>
    </i>
    <i r="1">
      <x v="5"/>
    </i>
    <i t="default">
      <x v="3"/>
    </i>
    <i>
      <x v="4"/>
      <x/>
    </i>
    <i r="1">
      <x v="1"/>
    </i>
    <i r="1">
      <x v="2"/>
    </i>
    <i r="1">
      <x v="3"/>
    </i>
    <i r="1">
      <x v="4"/>
    </i>
    <i r="1">
      <x v="5"/>
    </i>
    <i t="default">
      <x v="4"/>
    </i>
    <i>
      <x v="5"/>
      <x/>
    </i>
    <i r="1">
      <x v="1"/>
    </i>
    <i r="1">
      <x v="2"/>
    </i>
    <i r="1">
      <x v="3"/>
    </i>
    <i r="1">
      <x v="4"/>
    </i>
    <i r="1">
      <x v="5"/>
    </i>
    <i t="default">
      <x v="5"/>
    </i>
    <i>
      <x v="6"/>
      <x/>
    </i>
    <i r="1">
      <x v="1"/>
    </i>
    <i r="1">
      <x v="2"/>
    </i>
    <i r="1">
      <x v="3"/>
    </i>
    <i r="1">
      <x v="4"/>
    </i>
    <i r="1">
      <x v="5"/>
    </i>
    <i t="default">
      <x v="6"/>
    </i>
    <i>
      <x v="7"/>
      <x/>
    </i>
    <i r="1">
      <x v="1"/>
    </i>
    <i r="1">
      <x v="2"/>
    </i>
    <i r="1">
      <x v="3"/>
    </i>
    <i r="1">
      <x v="4"/>
    </i>
    <i r="1">
      <x v="5"/>
    </i>
    <i t="default">
      <x v="7"/>
    </i>
    <i>
      <x v="8"/>
      <x/>
    </i>
    <i r="1">
      <x v="1"/>
    </i>
    <i r="1">
      <x v="2"/>
    </i>
    <i r="1">
      <x v="3"/>
    </i>
    <i r="1">
      <x v="4"/>
    </i>
    <i r="1">
      <x v="5"/>
    </i>
    <i t="default">
      <x v="8"/>
    </i>
    <i>
      <x v="9"/>
      <x/>
    </i>
    <i r="1">
      <x v="1"/>
    </i>
    <i r="1">
      <x v="2"/>
    </i>
    <i r="1">
      <x v="3"/>
    </i>
    <i r="1">
      <x v="4"/>
    </i>
    <i r="1">
      <x v="5"/>
    </i>
    <i t="default">
      <x v="9"/>
    </i>
    <i t="grand">
      <x/>
    </i>
  </rowItems>
  <colItems count="1">
    <i/>
  </colItems>
  <dataFields count="1">
    <dataField name="Sum of سعر البيع" fld="9" baseField="0" baseItem="0"/>
  </dataFields>
  <formats count="5">
    <format dxfId="35">
      <pivotArea type="all" dataOnly="0" outline="0" fieldPosition="0"/>
    </format>
    <format dxfId="34">
      <pivotArea outline="0" collapsedLevelsAreSubtotals="1" fieldPosition="0"/>
    </format>
    <format dxfId="33">
      <pivotArea field="2" type="button" dataOnly="0" labelOnly="1" outline="0"/>
    </format>
    <format dxfId="32">
      <pivotArea dataOnly="0" labelOnly="1" grandRow="1" outline="0" fieldPosition="0"/>
    </format>
    <format dxfId="31">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57A39F-47FF-49A4-96D0-2D472D09B7BA}" name="PivotTable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N3:O14" firstHeaderRow="1" firstDataRow="1" firstDataCol="1"/>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axis="axisRow"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compact="0" outline="0" showAll="0"/>
    <pivotField dataField="1" compact="0" outline="0" showAll="0">
      <items count="4">
        <item x="0"/>
        <item x="1"/>
        <item x="2"/>
        <item t="default"/>
      </items>
    </pivotField>
    <pivotField compact="0" outline="0" showAll="0"/>
    <pivotField compact="0" outline="0" showAll="0">
      <items count="6">
        <item x="1"/>
        <item x="4"/>
        <item x="0"/>
        <item x="2"/>
        <item x="3"/>
        <item t="default"/>
      </items>
    </pivotField>
  </pivotFields>
  <rowFields count="1">
    <field x="2"/>
  </rowFields>
  <rowItems count="11">
    <i>
      <x/>
    </i>
    <i>
      <x v="1"/>
    </i>
    <i>
      <x v="2"/>
    </i>
    <i>
      <x v="3"/>
    </i>
    <i>
      <x v="4"/>
    </i>
    <i>
      <x v="5"/>
    </i>
    <i>
      <x v="6"/>
    </i>
    <i>
      <x v="7"/>
    </i>
    <i>
      <x v="8"/>
    </i>
    <i>
      <x v="9"/>
    </i>
    <i t="grand">
      <x/>
    </i>
  </rowItems>
  <colItems count="1">
    <i/>
  </colItems>
  <dataFields count="1">
    <dataField name="Count of طريقة الدفع" fld="10" subtotal="count" baseField="0" baseItem="0"/>
  </dataFields>
  <formats count="6">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outline="0" fieldPosition="0">
        <references count="1">
          <reference field="2" count="0"/>
        </references>
      </pivotArea>
    </format>
    <format dxfId="37">
      <pivotArea dataOnly="0" labelOnly="1" grandRow="1" outline="0" fieldPosition="0"/>
    </format>
    <format dxfId="3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7806DA-FDC4-4FE1-BE2C-CA036213AE4C}" name="PivotTable8" cacheId="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J3:L34" firstHeaderRow="1" firstDataRow="1" firstDataCol="2"/>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axis="axisRow"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dataField="1" compact="0" outline="0" showAll="0"/>
    <pivotField compact="0" outline="0" showAll="0">
      <items count="4">
        <item x="0"/>
        <item x="1"/>
        <item x="2"/>
        <item t="default"/>
      </items>
    </pivotField>
    <pivotField axis="axisRow" compact="0" outline="0" showAll="0">
      <items count="3">
        <item x="1"/>
        <item x="0"/>
        <item t="default"/>
      </items>
    </pivotField>
    <pivotField compact="0" outline="0" showAll="0">
      <items count="6">
        <item x="1"/>
        <item x="4"/>
        <item x="0"/>
        <item x="2"/>
        <item x="3"/>
        <item t="default"/>
      </items>
    </pivotField>
  </pivotFields>
  <rowFields count="2">
    <field x="5"/>
    <field x="11"/>
  </rowFields>
  <rowItems count="31">
    <i>
      <x/>
      <x/>
    </i>
    <i r="1">
      <x v="1"/>
    </i>
    <i t="default">
      <x/>
    </i>
    <i>
      <x v="1"/>
      <x/>
    </i>
    <i r="1">
      <x v="1"/>
    </i>
    <i t="default">
      <x v="1"/>
    </i>
    <i>
      <x v="2"/>
      <x/>
    </i>
    <i r="1">
      <x v="1"/>
    </i>
    <i t="default">
      <x v="2"/>
    </i>
    <i>
      <x v="3"/>
      <x/>
    </i>
    <i r="1">
      <x v="1"/>
    </i>
    <i t="default">
      <x v="3"/>
    </i>
    <i>
      <x v="4"/>
      <x/>
    </i>
    <i r="1">
      <x v="1"/>
    </i>
    <i t="default">
      <x v="4"/>
    </i>
    <i>
      <x v="5"/>
      <x/>
    </i>
    <i r="1">
      <x v="1"/>
    </i>
    <i t="default">
      <x v="5"/>
    </i>
    <i>
      <x v="6"/>
      <x/>
    </i>
    <i r="1">
      <x v="1"/>
    </i>
    <i t="default">
      <x v="6"/>
    </i>
    <i>
      <x v="7"/>
      <x/>
    </i>
    <i r="1">
      <x v="1"/>
    </i>
    <i t="default">
      <x v="7"/>
    </i>
    <i>
      <x v="8"/>
      <x/>
    </i>
    <i r="1">
      <x v="1"/>
    </i>
    <i t="default">
      <x v="8"/>
    </i>
    <i>
      <x v="9"/>
      <x/>
    </i>
    <i r="1">
      <x v="1"/>
    </i>
    <i t="default">
      <x v="9"/>
    </i>
    <i t="grand">
      <x/>
    </i>
  </rowItems>
  <colItems count="1">
    <i/>
  </colItems>
  <dataFields count="1">
    <dataField name="Sum of سعر البيع" fld="9" baseField="0" baseItem="0"/>
  </dataFields>
  <formats count="18">
    <format dxfId="59">
      <pivotArea type="all" dataOnly="0" outline="0" fieldPosition="0"/>
    </format>
    <format dxfId="58">
      <pivotArea outline="0" collapsedLevelsAreSubtotals="1" fieldPosition="0"/>
    </format>
    <format dxfId="57">
      <pivotArea field="5" type="button" dataOnly="0" labelOnly="1" outline="0" axis="axisRow" fieldPosition="0"/>
    </format>
    <format dxfId="56">
      <pivotArea field="11" type="button" dataOnly="0" labelOnly="1" outline="0" axis="axisRow" fieldPosition="1"/>
    </format>
    <format dxfId="55">
      <pivotArea dataOnly="0" labelOnly="1" outline="0" fieldPosition="0">
        <references count="1">
          <reference field="5" count="0"/>
        </references>
      </pivotArea>
    </format>
    <format dxfId="54">
      <pivotArea dataOnly="0" labelOnly="1" outline="0" fieldPosition="0">
        <references count="1">
          <reference field="5" count="0" defaultSubtotal="1"/>
        </references>
      </pivotArea>
    </format>
    <format dxfId="53">
      <pivotArea dataOnly="0" labelOnly="1" grandRow="1" outline="0" fieldPosition="0"/>
    </format>
    <format dxfId="52">
      <pivotArea dataOnly="0" labelOnly="1" outline="0" fieldPosition="0">
        <references count="2">
          <reference field="5" count="1" selected="0">
            <x v="0"/>
          </reference>
          <reference field="11" count="0"/>
        </references>
      </pivotArea>
    </format>
    <format dxfId="51">
      <pivotArea dataOnly="0" labelOnly="1" outline="0" fieldPosition="0">
        <references count="2">
          <reference field="5" count="1" selected="0">
            <x v="1"/>
          </reference>
          <reference field="11" count="0"/>
        </references>
      </pivotArea>
    </format>
    <format dxfId="50">
      <pivotArea dataOnly="0" labelOnly="1" outline="0" fieldPosition="0">
        <references count="2">
          <reference field="5" count="1" selected="0">
            <x v="2"/>
          </reference>
          <reference field="11" count="0"/>
        </references>
      </pivotArea>
    </format>
    <format dxfId="49">
      <pivotArea dataOnly="0" labelOnly="1" outline="0" fieldPosition="0">
        <references count="2">
          <reference field="5" count="1" selected="0">
            <x v="3"/>
          </reference>
          <reference field="11" count="0"/>
        </references>
      </pivotArea>
    </format>
    <format dxfId="48">
      <pivotArea dataOnly="0" labelOnly="1" outline="0" fieldPosition="0">
        <references count="2">
          <reference field="5" count="1" selected="0">
            <x v="4"/>
          </reference>
          <reference field="11" count="0"/>
        </references>
      </pivotArea>
    </format>
    <format dxfId="47">
      <pivotArea dataOnly="0" labelOnly="1" outline="0" fieldPosition="0">
        <references count="2">
          <reference field="5" count="1" selected="0">
            <x v="5"/>
          </reference>
          <reference field="11" count="0"/>
        </references>
      </pivotArea>
    </format>
    <format dxfId="46">
      <pivotArea dataOnly="0" labelOnly="1" outline="0" fieldPosition="0">
        <references count="2">
          <reference field="5" count="1" selected="0">
            <x v="6"/>
          </reference>
          <reference field="11" count="0"/>
        </references>
      </pivotArea>
    </format>
    <format dxfId="45">
      <pivotArea dataOnly="0" labelOnly="1" outline="0" fieldPosition="0">
        <references count="2">
          <reference field="5" count="1" selected="0">
            <x v="7"/>
          </reference>
          <reference field="11" count="0"/>
        </references>
      </pivotArea>
    </format>
    <format dxfId="44">
      <pivotArea dataOnly="0" labelOnly="1" outline="0" fieldPosition="0">
        <references count="2">
          <reference field="5" count="1" selected="0">
            <x v="8"/>
          </reference>
          <reference field="11" count="0"/>
        </references>
      </pivotArea>
    </format>
    <format dxfId="43">
      <pivotArea dataOnly="0" labelOnly="1" outline="0" fieldPosition="0">
        <references count="2">
          <reference field="5" count="1" selected="0">
            <x v="9"/>
          </reference>
          <reference field="11" count="0"/>
        </references>
      </pivotArea>
    </format>
    <format dxfId="42">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8D5C02-2F7D-4071-9F49-71C643658FC1}"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D3:E14" firstHeaderRow="1" firstDataRow="1" firstDataCol="1"/>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axis="axisRow"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dataField="1" compact="0" outline="0" showAll="0"/>
    <pivotField compact="0" outline="0" showAll="0">
      <items count="4">
        <item x="0"/>
        <item x="1"/>
        <item x="2"/>
        <item t="default"/>
      </items>
    </pivotField>
    <pivotField compact="0" outline="0" showAll="0">
      <items count="3">
        <item x="1"/>
        <item x="0"/>
        <item t="default"/>
      </items>
    </pivotField>
    <pivotField compact="0" outline="0" showAll="0">
      <items count="6">
        <item x="1"/>
        <item x="4"/>
        <item x="0"/>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سعر البيع" fld="9" baseField="0" baseItem="0"/>
  </dataFields>
  <formats count="6">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outline="0" fieldPosition="0">
        <references count="1">
          <reference field="5" count="0"/>
        </references>
      </pivotArea>
    </format>
    <format dxfId="61">
      <pivotArea dataOnly="0" labelOnly="1" grandRow="1" outline="0" fieldPosition="0"/>
    </format>
    <format dxfId="6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FA777E-76A2-4D53-8FF7-E8B3FFEB90DC}"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1:AE1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سعر البيع" fld="1" baseField="0" baseItem="0" numFmtId="165"/>
  </dataFields>
  <formats count="1">
    <format dxfId="66">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mpossi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819BB9-1DAC-4FBC-95B7-B3172BD572DD}"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G3:AH9" firstHeaderRow="1"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تقييم المندوب"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mpossi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7163F2-52EC-4AEB-9D0F-3152EA4FF865}"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G3:H14" firstHeaderRow="1" firstDataRow="1" firstDataCol="1"/>
  <pivotFields count="13">
    <pivotField compact="0" outline="0" showAll="0"/>
    <pivotField compact="0" outline="0" showAll="0">
      <items count="255">
        <item x="211"/>
        <item x="35"/>
        <item x="120"/>
        <item x="22"/>
        <item x="186"/>
        <item x="184"/>
        <item x="61"/>
        <item x="229"/>
        <item x="72"/>
        <item x="65"/>
        <item x="228"/>
        <item x="12"/>
        <item x="9"/>
        <item x="109"/>
        <item x="212"/>
        <item x="189"/>
        <item x="90"/>
        <item x="34"/>
        <item x="175"/>
        <item x="5"/>
        <item x="147"/>
        <item x="216"/>
        <item x="73"/>
        <item x="150"/>
        <item x="144"/>
        <item x="100"/>
        <item x="64"/>
        <item x="137"/>
        <item x="60"/>
        <item x="50"/>
        <item x="204"/>
        <item x="141"/>
        <item x="138"/>
        <item x="55"/>
        <item x="180"/>
        <item x="243"/>
        <item x="74"/>
        <item x="39"/>
        <item x="158"/>
        <item x="36"/>
        <item x="75"/>
        <item x="168"/>
        <item x="112"/>
        <item x="172"/>
        <item x="149"/>
        <item x="203"/>
        <item x="185"/>
        <item x="193"/>
        <item x="231"/>
        <item x="235"/>
        <item x="17"/>
        <item x="80"/>
        <item x="59"/>
        <item x="222"/>
        <item x="7"/>
        <item x="245"/>
        <item x="83"/>
        <item x="195"/>
        <item x="14"/>
        <item x="200"/>
        <item x="15"/>
        <item x="37"/>
        <item x="66"/>
        <item x="102"/>
        <item x="148"/>
        <item x="1"/>
        <item x="169"/>
        <item x="167"/>
        <item x="94"/>
        <item x="246"/>
        <item x="3"/>
        <item x="31"/>
        <item x="244"/>
        <item x="82"/>
        <item x="45"/>
        <item x="210"/>
        <item x="157"/>
        <item x="71"/>
        <item x="240"/>
        <item x="18"/>
        <item x="26"/>
        <item x="16"/>
        <item x="52"/>
        <item x="79"/>
        <item x="76"/>
        <item x="214"/>
        <item x="166"/>
        <item x="125"/>
        <item x="85"/>
        <item x="107"/>
        <item x="179"/>
        <item x="207"/>
        <item x="197"/>
        <item x="183"/>
        <item x="2"/>
        <item x="93"/>
        <item x="62"/>
        <item x="84"/>
        <item x="49"/>
        <item x="182"/>
        <item x="78"/>
        <item x="69"/>
        <item x="151"/>
        <item x="116"/>
        <item x="122"/>
        <item x="233"/>
        <item x="91"/>
        <item x="101"/>
        <item x="58"/>
        <item x="88"/>
        <item x="215"/>
        <item x="224"/>
        <item x="232"/>
        <item x="11"/>
        <item x="170"/>
        <item x="81"/>
        <item x="24"/>
        <item x="145"/>
        <item x="27"/>
        <item x="32"/>
        <item x="77"/>
        <item x="129"/>
        <item x="108"/>
        <item x="38"/>
        <item x="115"/>
        <item x="123"/>
        <item x="146"/>
        <item x="4"/>
        <item x="154"/>
        <item x="48"/>
        <item x="237"/>
        <item x="159"/>
        <item x="164"/>
        <item x="196"/>
        <item x="155"/>
        <item x="10"/>
        <item x="96"/>
        <item x="252"/>
        <item x="165"/>
        <item x="41"/>
        <item x="205"/>
        <item x="142"/>
        <item x="221"/>
        <item x="187"/>
        <item x="208"/>
        <item x="171"/>
        <item x="160"/>
        <item x="89"/>
        <item x="42"/>
        <item x="206"/>
        <item x="68"/>
        <item x="86"/>
        <item x="251"/>
        <item x="194"/>
        <item x="25"/>
        <item x="46"/>
        <item x="98"/>
        <item x="201"/>
        <item x="133"/>
        <item x="143"/>
        <item x="33"/>
        <item x="104"/>
        <item x="111"/>
        <item x="128"/>
        <item x="234"/>
        <item x="130"/>
        <item x="47"/>
        <item x="191"/>
        <item x="113"/>
        <item x="8"/>
        <item x="247"/>
        <item x="253"/>
        <item x="248"/>
        <item x="199"/>
        <item x="162"/>
        <item x="241"/>
        <item x="29"/>
        <item x="139"/>
        <item x="95"/>
        <item x="174"/>
        <item x="213"/>
        <item x="227"/>
        <item x="156"/>
        <item x="53"/>
        <item x="176"/>
        <item x="173"/>
        <item x="54"/>
        <item x="126"/>
        <item x="202"/>
        <item x="118"/>
        <item x="105"/>
        <item x="28"/>
        <item x="236"/>
        <item x="134"/>
        <item x="97"/>
        <item x="99"/>
        <item x="239"/>
        <item x="153"/>
        <item x="67"/>
        <item x="117"/>
        <item x="238"/>
        <item x="136"/>
        <item x="119"/>
        <item x="131"/>
        <item x="87"/>
        <item x="106"/>
        <item x="242"/>
        <item x="20"/>
        <item x="223"/>
        <item x="43"/>
        <item x="70"/>
        <item x="0"/>
        <item x="161"/>
        <item x="192"/>
        <item x="19"/>
        <item x="249"/>
        <item x="177"/>
        <item x="56"/>
        <item x="6"/>
        <item x="30"/>
        <item x="121"/>
        <item x="220"/>
        <item x="21"/>
        <item x="135"/>
        <item x="225"/>
        <item x="57"/>
        <item x="110"/>
        <item x="198"/>
        <item x="181"/>
        <item x="51"/>
        <item x="13"/>
        <item x="219"/>
        <item x="230"/>
        <item x="92"/>
        <item x="127"/>
        <item x="132"/>
        <item x="114"/>
        <item x="23"/>
        <item x="124"/>
        <item x="217"/>
        <item x="226"/>
        <item x="218"/>
        <item x="209"/>
        <item x="178"/>
        <item x="40"/>
        <item x="63"/>
        <item x="44"/>
        <item x="103"/>
        <item x="152"/>
        <item x="163"/>
        <item x="250"/>
        <item x="188"/>
        <item x="140"/>
        <item x="190"/>
        <item t="default"/>
      </items>
    </pivotField>
    <pivotField axis="axisRow" compact="0" outline="0" showAll="0">
      <items count="11">
        <item x="7"/>
        <item x="2"/>
        <item x="0"/>
        <item x="5"/>
        <item x="4"/>
        <item x="8"/>
        <item x="1"/>
        <item x="9"/>
        <item x="3"/>
        <item x="6"/>
        <item t="default"/>
      </items>
    </pivotField>
    <pivotField compact="0" outline="0" showAll="0"/>
    <pivotField compact="0" outline="0" showAll="0">
      <items count="6">
        <item x="2"/>
        <item x="0"/>
        <item x="3"/>
        <item x="4"/>
        <item x="1"/>
        <item t="default"/>
      </items>
    </pivotField>
    <pivotField compact="0" outline="0" showAll="0">
      <items count="11">
        <item x="3"/>
        <item x="9"/>
        <item x="6"/>
        <item x="8"/>
        <item x="7"/>
        <item x="1"/>
        <item x="4"/>
        <item x="2"/>
        <item x="0"/>
        <item x="5"/>
        <item t="default"/>
      </items>
    </pivotField>
    <pivotField compact="0" outline="0" showAll="0">
      <items count="7">
        <item x="2"/>
        <item x="0"/>
        <item x="5"/>
        <item x="1"/>
        <item x="4"/>
        <item x="3"/>
        <item t="default"/>
      </items>
    </pivotField>
    <pivotField compact="0" outline="0" showAll="0">
      <items count="11">
        <item x="4"/>
        <item x="7"/>
        <item x="5"/>
        <item x="1"/>
        <item x="3"/>
        <item x="6"/>
        <item x="9"/>
        <item x="0"/>
        <item x="2"/>
        <item x="8"/>
        <item t="default"/>
      </items>
    </pivotField>
    <pivotField compact="0" outline="0" showAll="0">
      <items count="7">
        <item x="1"/>
        <item x="5"/>
        <item x="4"/>
        <item x="3"/>
        <item x="0"/>
        <item x="2"/>
        <item t="default"/>
      </items>
    </pivotField>
    <pivotField dataField="1" compact="0" outline="0" showAll="0"/>
    <pivotField compact="0" outline="0" showAll="0">
      <items count="4">
        <item x="0"/>
        <item x="1"/>
        <item x="2"/>
        <item t="default"/>
      </items>
    </pivotField>
    <pivotField compact="0" outline="0" showAll="0"/>
    <pivotField compact="0" outline="0" showAll="0">
      <items count="6">
        <item x="1"/>
        <item x="4"/>
        <item x="0"/>
        <item x="2"/>
        <item x="3"/>
        <item t="default"/>
      </items>
    </pivotField>
  </pivotFields>
  <rowFields count="1">
    <field x="2"/>
  </rowFields>
  <rowItems count="11">
    <i>
      <x/>
    </i>
    <i>
      <x v="1"/>
    </i>
    <i>
      <x v="2"/>
    </i>
    <i>
      <x v="3"/>
    </i>
    <i>
      <x v="4"/>
    </i>
    <i>
      <x v="5"/>
    </i>
    <i>
      <x v="6"/>
    </i>
    <i>
      <x v="7"/>
    </i>
    <i>
      <x v="8"/>
    </i>
    <i>
      <x v="9"/>
    </i>
    <i t="grand">
      <x/>
    </i>
  </rowItems>
  <colItems count="1">
    <i/>
  </colItems>
  <dataFields count="1">
    <dataField name="Sum of سعر البيع" fld="9" baseField="0" baseItem="0"/>
  </dataFields>
  <formats count="6">
    <format dxfId="72">
      <pivotArea type="all" dataOnly="0" outline="0" fieldPosition="0"/>
    </format>
    <format dxfId="71">
      <pivotArea outline="0" collapsedLevelsAreSubtotals="1" fieldPosition="0"/>
    </format>
    <format dxfId="70">
      <pivotArea field="2" type="button" dataOnly="0" labelOnly="1" outline="0" axis="axisRow" fieldPosition="0"/>
    </format>
    <format dxfId="69">
      <pivotArea dataOnly="0" labelOnly="1" outline="0" fieldPosition="0">
        <references count="1">
          <reference field="2" count="0"/>
        </references>
      </pivotArea>
    </format>
    <format dxfId="68">
      <pivotArea dataOnly="0" labelOnly="1" grandRow="1" outline="0" fieldPosition="0"/>
    </format>
    <format dxfId="6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اريخ_البيع" xr10:uid="{F032D76F-CE12-4542-BB23-CC043328954C}" sourceName="تاريخ البيع">
  <pivotTables>
    <pivotTable tabId="3" name="PivotTable10"/>
    <pivotTable tabId="3" name="PivotTable14"/>
    <pivotTable tabId="3" name="PivotTable16"/>
    <pivotTable tabId="3" name="PivotTable5"/>
    <pivotTable tabId="3" name="PivotTable6"/>
    <pivotTable tabId="3" name="PivotTable7"/>
    <pivotTable tabId="3" name="PivotTable8"/>
    <pivotTable tabId="3" name="PivotTable9"/>
  </pivotTables>
  <data>
    <tabular pivotCacheId="730128459">
      <items count="254">
        <i x="211" s="1"/>
        <i x="35" s="1"/>
        <i x="120" s="1"/>
        <i x="22" s="1"/>
        <i x="186" s="1"/>
        <i x="184" s="1"/>
        <i x="61" s="1"/>
        <i x="229" s="1"/>
        <i x="72" s="1"/>
        <i x="65" s="1"/>
        <i x="228" s="1"/>
        <i x="12" s="1"/>
        <i x="9" s="1"/>
        <i x="109" s="1"/>
        <i x="212" s="1"/>
        <i x="189" s="1"/>
        <i x="90" s="1"/>
        <i x="34" s="1"/>
        <i x="175" s="1"/>
        <i x="5" s="1"/>
        <i x="147" s="1"/>
        <i x="216" s="1"/>
        <i x="73" s="1"/>
        <i x="150" s="1"/>
        <i x="144" s="1"/>
        <i x="100" s="1"/>
        <i x="64" s="1"/>
        <i x="137" s="1"/>
        <i x="60" s="1"/>
        <i x="50" s="1"/>
        <i x="204" s="1"/>
        <i x="141" s="1"/>
        <i x="138" s="1"/>
        <i x="55" s="1"/>
        <i x="180" s="1"/>
        <i x="243" s="1"/>
        <i x="74" s="1"/>
        <i x="39" s="1"/>
        <i x="158" s="1"/>
        <i x="36" s="1"/>
        <i x="75" s="1"/>
        <i x="168" s="1"/>
        <i x="112" s="1"/>
        <i x="172" s="1"/>
        <i x="149" s="1"/>
        <i x="203" s="1"/>
        <i x="185" s="1"/>
        <i x="193" s="1"/>
        <i x="231" s="1"/>
        <i x="235" s="1"/>
        <i x="17" s="1"/>
        <i x="80" s="1"/>
        <i x="59" s="1"/>
        <i x="222" s="1"/>
        <i x="7" s="1"/>
        <i x="245" s="1"/>
        <i x="83" s="1"/>
        <i x="195" s="1"/>
        <i x="14" s="1"/>
        <i x="200" s="1"/>
        <i x="15" s="1"/>
        <i x="37" s="1"/>
        <i x="66" s="1"/>
        <i x="102" s="1"/>
        <i x="148" s="1"/>
        <i x="1" s="1"/>
        <i x="169" s="1"/>
        <i x="167" s="1"/>
        <i x="94" s="1"/>
        <i x="246" s="1"/>
        <i x="3" s="1"/>
        <i x="31" s="1"/>
        <i x="244" s="1"/>
        <i x="82" s="1"/>
        <i x="45" s="1"/>
        <i x="210" s="1"/>
        <i x="157" s="1"/>
        <i x="71" s="1"/>
        <i x="240" s="1"/>
        <i x="18" s="1"/>
        <i x="26" s="1"/>
        <i x="16" s="1"/>
        <i x="52" s="1"/>
        <i x="79" s="1"/>
        <i x="76" s="1"/>
        <i x="214" s="1"/>
        <i x="166" s="1"/>
        <i x="125" s="1"/>
        <i x="85" s="1"/>
        <i x="107" s="1"/>
        <i x="179" s="1"/>
        <i x="207" s="1"/>
        <i x="197" s="1"/>
        <i x="183" s="1"/>
        <i x="2" s="1"/>
        <i x="93" s="1"/>
        <i x="62" s="1"/>
        <i x="84" s="1"/>
        <i x="49" s="1"/>
        <i x="182" s="1"/>
        <i x="78" s="1"/>
        <i x="69" s="1"/>
        <i x="151" s="1"/>
        <i x="116" s="1"/>
        <i x="122" s="1"/>
        <i x="233" s="1"/>
        <i x="91" s="1"/>
        <i x="101" s="1"/>
        <i x="58" s="1"/>
        <i x="88" s="1"/>
        <i x="215" s="1"/>
        <i x="224" s="1"/>
        <i x="232" s="1"/>
        <i x="11" s="1"/>
        <i x="170" s="1"/>
        <i x="81" s="1"/>
        <i x="24" s="1"/>
        <i x="145" s="1"/>
        <i x="27" s="1"/>
        <i x="32" s="1"/>
        <i x="77" s="1"/>
        <i x="129" s="1"/>
        <i x="108" s="1"/>
        <i x="38" s="1"/>
        <i x="115" s="1"/>
        <i x="123" s="1"/>
        <i x="146" s="1"/>
        <i x="4" s="1"/>
        <i x="154" s="1"/>
        <i x="48" s="1"/>
        <i x="237" s="1"/>
        <i x="159" s="1"/>
        <i x="164" s="1"/>
        <i x="196" s="1"/>
        <i x="155" s="1"/>
        <i x="10" s="1"/>
        <i x="96" s="1"/>
        <i x="252" s="1"/>
        <i x="165" s="1"/>
        <i x="41" s="1"/>
        <i x="205" s="1"/>
        <i x="142" s="1"/>
        <i x="221" s="1"/>
        <i x="187" s="1"/>
        <i x="208" s="1"/>
        <i x="171" s="1"/>
        <i x="160" s="1"/>
        <i x="89" s="1"/>
        <i x="42" s="1"/>
        <i x="206" s="1"/>
        <i x="68" s="1"/>
        <i x="86" s="1"/>
        <i x="251" s="1"/>
        <i x="194" s="1"/>
        <i x="25" s="1"/>
        <i x="46" s="1"/>
        <i x="98" s="1"/>
        <i x="201" s="1"/>
        <i x="133" s="1"/>
        <i x="143" s="1"/>
        <i x="33" s="1"/>
        <i x="104" s="1"/>
        <i x="111" s="1"/>
        <i x="128" s="1"/>
        <i x="234" s="1"/>
        <i x="130" s="1"/>
        <i x="47" s="1"/>
        <i x="191" s="1"/>
        <i x="113" s="1"/>
        <i x="8" s="1"/>
        <i x="247" s="1"/>
        <i x="253" s="1"/>
        <i x="248" s="1"/>
        <i x="199" s="1"/>
        <i x="162" s="1"/>
        <i x="241" s="1"/>
        <i x="29" s="1"/>
        <i x="139" s="1"/>
        <i x="95" s="1"/>
        <i x="174" s="1"/>
        <i x="213" s="1"/>
        <i x="227" s="1"/>
        <i x="156" s="1"/>
        <i x="53" s="1"/>
        <i x="176" s="1"/>
        <i x="173" s="1"/>
        <i x="54" s="1"/>
        <i x="126" s="1"/>
        <i x="202" s="1"/>
        <i x="118" s="1"/>
        <i x="105" s="1"/>
        <i x="28" s="1"/>
        <i x="236" s="1"/>
        <i x="134" s="1"/>
        <i x="97" s="1"/>
        <i x="99" s="1"/>
        <i x="239" s="1"/>
        <i x="153" s="1"/>
        <i x="67" s="1"/>
        <i x="117" s="1"/>
        <i x="238" s="1"/>
        <i x="136" s="1"/>
        <i x="119" s="1"/>
        <i x="131" s="1"/>
        <i x="87" s="1"/>
        <i x="106" s="1"/>
        <i x="242" s="1"/>
        <i x="20" s="1"/>
        <i x="223" s="1"/>
        <i x="43" s="1"/>
        <i x="70" s="1"/>
        <i x="0" s="1"/>
        <i x="161" s="1"/>
        <i x="192" s="1"/>
        <i x="19" s="1"/>
        <i x="249" s="1"/>
        <i x="177" s="1"/>
        <i x="56" s="1"/>
        <i x="6" s="1"/>
        <i x="30" s="1"/>
        <i x="121" s="1"/>
        <i x="220" s="1"/>
        <i x="21" s="1"/>
        <i x="135" s="1"/>
        <i x="225" s="1"/>
        <i x="57" s="1"/>
        <i x="110" s="1"/>
        <i x="198" s="1"/>
        <i x="181" s="1"/>
        <i x="51" s="1"/>
        <i x="13" s="1"/>
        <i x="219" s="1"/>
        <i x="230" s="1"/>
        <i x="92" s="1"/>
        <i x="127" s="1"/>
        <i x="132" s="1"/>
        <i x="114" s="1"/>
        <i x="23" s="1"/>
        <i x="124" s="1"/>
        <i x="217" s="1"/>
        <i x="226" s="1"/>
        <i x="218" s="1"/>
        <i x="209" s="1"/>
        <i x="178" s="1"/>
        <i x="40" s="1"/>
        <i x="63" s="1"/>
        <i x="44" s="1"/>
        <i x="103" s="1"/>
        <i x="152" s="1"/>
        <i x="163" s="1"/>
        <i x="250" s="1"/>
        <i x="188" s="1"/>
        <i x="140" s="1"/>
        <i x="19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عميل" xr10:uid="{41CCBA5C-67D4-4761-A812-9836C69716B8}" sourceName="اسم العميل">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10">
        <i x="7" s="1"/>
        <i x="2" s="1"/>
        <i x="0" s="1"/>
        <i x="5" s="1"/>
        <i x="4" s="1"/>
        <i x="8" s="1"/>
        <i x="1" s="1"/>
        <i x="9"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سيارة" xr10:uid="{5BBD2291-93C6-4FBD-B53F-13EA0ECA73C8}" sourceName="نوع السيارة">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5">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اركة" xr10:uid="{1C6511FA-47E1-4219-AA93-E1E7233399F2}" sourceName="الماركة">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10">
        <i x="3" s="1"/>
        <i x="9" s="1"/>
        <i x="6" s="1"/>
        <i x="8" s="1"/>
        <i x="7" s="1"/>
        <i x="1" s="1"/>
        <i x="4" s="1"/>
        <i x="2"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فئه" xr10:uid="{3B23E572-C869-4EC7-B85C-C90106410817}" sourceName="الفئه">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6">
        <i x="2" s="1"/>
        <i x="0" s="1"/>
        <i x="5" s="1"/>
        <i x="1"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نة_الصنع" xr10:uid="{F91993A8-0868-48D0-B438-E208B128D295}" sourceName="سنة الصنع">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10">
        <i x="4" s="1"/>
        <i x="7" s="1"/>
        <i x="5" s="1"/>
        <i x="1" s="1"/>
        <i x="3" s="1"/>
        <i x="6" s="1"/>
        <i x="9" s="1"/>
        <i x="0" s="1"/>
        <i x="2" s="1"/>
        <i x="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ريقة_الدفع" xr10:uid="{FBAC7CDA-292F-4A37-B396-FFCF9A58D722}" sourceName="طريقة الدفع">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حالة_السيارة" xr10:uid="{C8D5F26C-8697-4F2E-A500-DE69D4246D6E}" sourceName="حالة السيارة">
  <pivotTables>
    <pivotTable tabId="3" name="PivotTable6"/>
  </pivotTables>
  <data>
    <tabular pivotCacheId="730128459">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دوب" xr10:uid="{FE674097-3F5D-4D78-B619-654E1B825A37}" sourceName="المندوب">
  <pivotTables>
    <pivotTable tabId="3" name="PivotTable6"/>
    <pivotTable tabId="3" name="PivotTable10"/>
    <pivotTable tabId="3" name="PivotTable14"/>
    <pivotTable tabId="3" name="ه"/>
    <pivotTable tabId="3" name="PivotTable16"/>
    <pivotTable tabId="3" name="PivotTable5"/>
    <pivotTable tabId="3" name="PivotTable7"/>
    <pivotTable tabId="3" name="PivotTable8"/>
    <pivotTable tabId="3" name="PivotTable9"/>
  </pivotTables>
  <data>
    <tabular pivotCacheId="730128459">
      <items count="5">
        <i x="1" s="1"/>
        <i x="4" s="1"/>
        <i x="0" s="1"/>
        <i x="2"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طقه" xr10:uid="{265132BB-9750-403A-8B85-DDDB31D5BB0D}" sourceName="[Table1].[المنطقه]">
  <pivotTables>
    <pivotTable tabId="3" name="PivotTable18"/>
    <pivotTable tabId="3" name="PivotTable15"/>
    <pivotTable tabId="3" name="PivotTable19"/>
  </pivotTables>
  <data>
    <olap pivotCacheId="17022144">
      <levels count="2">
        <level uniqueName="[Table1].[المنطقه].[(All)]" sourceCaption="(All)" count="0"/>
        <level uniqueName="[Table1].[المنطقه].[المنطقه]" sourceCaption="المنطقه" count="5">
          <ranges>
            <range startItem="0">
              <i n="[Table1].[المنطقه].&amp;[أسيوط]" c="أسيوط"/>
              <i n="[Table1].[المنطقه].&amp;[الإسكندرية]" c="الإسكندرية"/>
              <i n="[Table1].[المنطقه].&amp;[الجيزة]" c="الجيزة"/>
              <i n="[Table1].[المنطقه].&amp;[القاهرة]" c="القاهرة"/>
              <i n="[Table1].[المنطقه].&amp;[المنصورة]" c="المنصورة"/>
            </range>
          </ranges>
        </level>
      </levels>
      <selections count="1">
        <selection n="[Table1].[المنطقه].[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لون" xr10:uid="{84F74DA3-17BD-41B6-B05A-A2E359898848}" sourceName="اللون">
  <pivotTables>
    <pivotTable tabId="3" name="PivotTable7"/>
    <pivotTable tabId="3" name="PivotTable10"/>
    <pivotTable tabId="3" name="PivotTable14"/>
    <pivotTable tabId="3" name="PivotTable16"/>
    <pivotTable tabId="3" name="PivotTable5"/>
    <pivotTable tabId="3" name="PivotTable6"/>
    <pivotTable tabId="3" name="PivotTable8"/>
    <pivotTable tabId="3" name="PivotTable9"/>
    <pivotTable tabId="3" name="ه"/>
  </pivotTables>
  <data>
    <tabular pivotCacheId="730128459">
      <items count="6">
        <i x="1" s="1"/>
        <i x="5" s="1"/>
        <i x="4"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تاريخ البيع" xr10:uid="{5EC675CF-6972-4E90-A9B0-2B7D776471E3}" cache="Slicer_تاريخ_البيع" caption="تاريخ البيع" startItem="24" rowHeight="241300"/>
  <slicer name="اسم العميل" xr10:uid="{ABDED219-51CF-4B89-8907-A85C408E74D1}" cache="Slicer_اسم_العميل" caption="اسم العميل" rowHeight="241300"/>
  <slicer name="نوع السيارة" xr10:uid="{9C5D9248-9976-4231-93B4-1D94F0BF8404}" cache="Slicer_نوع_السيارة" caption="نوع السيارة" rowHeight="241300"/>
  <slicer name="الماركة" xr10:uid="{9D5FDC6D-CC45-4056-9302-4A8F0232B33E}" cache="Slicer_الماركة" caption="الماركة" rowHeight="241300"/>
  <slicer name="الفئه" xr10:uid="{491D5A38-163F-4A41-A908-6E2A74992D2D}" cache="Slicer_الفئه" caption="الفئه" columnCount="3" rowHeight="241300"/>
  <slicer name="سنة الصنع" xr10:uid="{196201E5-CEAD-4A32-8904-BBDDA86565DB}" cache="Slicer_سنة_الصنع" caption="سنة الصنع" columnCount="2" rowHeight="241300"/>
  <slicer name="طريقة الدفع" xr10:uid="{54C731D9-F9B0-4AED-BC3F-242B81DA1E22}" cache="Slicer_طريقة_الدفع" caption="طريقة الدفع" columnCount="3" rowHeight="241300"/>
  <slicer name="حالة السيارة" xr10:uid="{D1986A33-2E00-4D14-B6FD-FBE85D74CF5A}" cache="Slicer_حالة_السيارة" caption="حالة السيارة" columnCount="2" rowHeight="241300"/>
  <slicer name="المندوب" xr10:uid="{F1113300-AD5F-44A4-8ECD-C4944A4CDF03}" cache="Slicer_المندوب" caption="المندوب" columnCount="3" rowHeight="241300"/>
  <slicer name="المنطقه" xr10:uid="{9A14E6D0-721E-45B4-B237-B1C00987FC7E}" cache="Slicer_المنطقه" caption="المنطقه" columnCount="2" level="1" rowHeight="241300"/>
  <slicer name="اللون" xr10:uid="{006C641A-B190-4A2D-9B20-F6C16E806F60}" cache="Slicer_اللون" caption="اللون"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42647-4802-4CD9-9D42-D11AE7958CAD}" name="Table1" displayName="Table1" ref="A2:O302" headerRowDxfId="90" dataDxfId="89" totalsRowDxfId="88">
  <autoFilter ref="A2:O302" xr:uid="{AD942647-4802-4CD9-9D42-D11AE7958C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2DFF69B-12F2-47E0-B487-9020E93CFE7F}" name="رقم العملية" totalsRowLabel="Total" dataDxfId="87"/>
    <tableColumn id="2" xr3:uid="{EBDF0675-132A-4B5A-94B5-01484FA6F5EA}" name="تاريخ البيع" dataDxfId="86"/>
    <tableColumn id="3" xr3:uid="{903F0726-9D54-43D1-83C0-227A8D28CAA9}" name="اسم العميل" dataDxfId="85"/>
    <tableColumn id="4" xr3:uid="{375AFED3-71C2-42EE-8CBC-425513647AF6}" name="رقم الهاتف" dataDxfId="84"/>
    <tableColumn id="5" xr3:uid="{EE2F1204-8459-421F-9915-C5E45F1274F1}" name="نوع السيارة" dataDxfId="83"/>
    <tableColumn id="6" xr3:uid="{FC988991-CB14-4DD1-8B25-A63BE8EEB111}" name="الماركة" dataDxfId="82"/>
    <tableColumn id="7" xr3:uid="{A4BB4501-65F2-4FFC-91AE-DD6CA75C49D4}" name="الفئه" dataDxfId="81"/>
    <tableColumn id="8" xr3:uid="{0C2309D1-A345-4172-B52F-BEF69B637702}" name="سنة الصنع" dataDxfId="80"/>
    <tableColumn id="9" xr3:uid="{90B4F286-F61A-455D-B049-70AC7205B4FC}" name="اللون" dataDxfId="79"/>
    <tableColumn id="10" xr3:uid="{C84D5A17-1FE5-4BDD-85AF-B83BF355952D}" name="سعر البيع" dataDxfId="78"/>
    <tableColumn id="11" xr3:uid="{EEB5B894-4EDD-40A4-B2B3-31A26520E170}" name="طريقة الدفع" dataDxfId="77"/>
    <tableColumn id="12" xr3:uid="{347A4EDB-56D2-4C43-9993-F2F54A3FBC80}" name="حالة السيارة" dataDxfId="76"/>
    <tableColumn id="13" xr3:uid="{0AE6C647-D2D9-4E92-8B33-323037EA1A5D}" name="المندوب" totalsRowFunction="count" dataDxfId="75"/>
    <tableColumn id="14" xr3:uid="{DDB9C910-819B-4E47-BDD9-7470E6B09411}" name="تقييم المندوب" dataDxfId="74">
      <calculatedColumnFormula>RANDBETWEEN(4,10)</calculatedColumnFormula>
    </tableColumn>
    <tableColumn id="15" xr3:uid="{09B35FBA-D429-4F33-8856-F28AB17341AD}" name="المنطقه" dataDxfId="73"/>
  </tableColumns>
  <tableStyleInfo name="TableStyleLight8" showFirstColumn="0" showLastColumn="0" showRowStripes="1" showColumnStripes="1"/>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2"/>
  <sheetViews>
    <sheetView workbookViewId="0">
      <selection activeCell="A4" sqref="A4"/>
    </sheetView>
  </sheetViews>
  <sheetFormatPr defaultRowHeight="14.5" x14ac:dyDescent="0.35"/>
  <cols>
    <col min="1" max="1" width="9.1796875" style="1" bestFit="1" customWidth="1"/>
    <col min="2" max="2" width="10.08984375" style="1" bestFit="1" customWidth="1"/>
    <col min="3" max="3" width="10.26953125" style="1" bestFit="1" customWidth="1"/>
    <col min="4" max="4" width="11.81640625" style="1" bestFit="1" customWidth="1"/>
    <col min="5" max="5" width="9" style="1" bestFit="1" customWidth="1"/>
    <col min="6" max="6" width="9.6328125" style="1" bestFit="1" customWidth="1"/>
    <col min="7" max="7" width="6.36328125" style="1" bestFit="1" customWidth="1"/>
    <col min="8" max="8" width="9" style="8" bestFit="1" customWidth="1"/>
    <col min="9" max="9" width="4.81640625" style="1" bestFit="1" customWidth="1"/>
    <col min="10" max="10" width="12.26953125" style="12" bestFit="1" customWidth="1"/>
    <col min="11" max="11" width="9.90625" style="1" bestFit="1" customWidth="1"/>
    <col min="12" max="12" width="10" style="1" bestFit="1" customWidth="1"/>
    <col min="13" max="13" width="7.36328125" style="1" bestFit="1" customWidth="1"/>
    <col min="14" max="14" width="11.90625" style="8" bestFit="1" customWidth="1"/>
    <col min="15" max="16384" width="8.7265625" style="1"/>
  </cols>
  <sheetData>
    <row r="1" spans="1:15" s="2" customFormat="1" ht="15.5" x14ac:dyDescent="0.35">
      <c r="A1" s="20" t="s">
        <v>607</v>
      </c>
      <c r="B1" s="21"/>
      <c r="C1" s="21"/>
      <c r="D1" s="21"/>
      <c r="E1" s="21"/>
      <c r="F1" s="21"/>
      <c r="G1" s="21"/>
      <c r="H1" s="21"/>
      <c r="I1" s="21"/>
      <c r="J1" s="21"/>
      <c r="K1" s="21"/>
      <c r="L1" s="21"/>
      <c r="M1" s="21"/>
      <c r="N1" s="21"/>
      <c r="O1" s="21"/>
    </row>
    <row r="2" spans="1:15" s="13" customFormat="1" ht="15.5" x14ac:dyDescent="0.35">
      <c r="A2" s="6" t="s">
        <v>0</v>
      </c>
      <c r="B2" s="6" t="s">
        <v>1</v>
      </c>
      <c r="C2" s="6" t="s">
        <v>2</v>
      </c>
      <c r="D2" s="6" t="s">
        <v>3</v>
      </c>
      <c r="E2" s="6" t="s">
        <v>4</v>
      </c>
      <c r="F2" s="6" t="s">
        <v>5</v>
      </c>
      <c r="G2" s="6" t="s">
        <v>610</v>
      </c>
      <c r="H2" s="6" t="s">
        <v>6</v>
      </c>
      <c r="I2" s="6" t="s">
        <v>7</v>
      </c>
      <c r="J2" s="6" t="s">
        <v>8</v>
      </c>
      <c r="K2" s="6" t="s">
        <v>9</v>
      </c>
      <c r="L2" s="6" t="s">
        <v>10</v>
      </c>
      <c r="M2" s="6" t="s">
        <v>11</v>
      </c>
      <c r="N2" s="6" t="s">
        <v>628</v>
      </c>
      <c r="O2" s="6" t="s">
        <v>629</v>
      </c>
    </row>
    <row r="3" spans="1:15" x14ac:dyDescent="0.35">
      <c r="A3" s="8">
        <v>1</v>
      </c>
      <c r="B3" s="9" t="s">
        <v>12</v>
      </c>
      <c r="C3" s="10" t="s">
        <v>13</v>
      </c>
      <c r="D3" s="7" t="s">
        <v>14</v>
      </c>
      <c r="E3" s="10" t="s">
        <v>15</v>
      </c>
      <c r="F3" s="10" t="s">
        <v>16</v>
      </c>
      <c r="G3" s="10" t="s">
        <v>611</v>
      </c>
      <c r="H3" s="8">
        <v>2022</v>
      </c>
      <c r="I3" s="10" t="s">
        <v>17</v>
      </c>
      <c r="J3" s="12">
        <v>702305</v>
      </c>
      <c r="K3" s="10" t="s">
        <v>18</v>
      </c>
      <c r="L3" s="10" t="s">
        <v>19</v>
      </c>
      <c r="M3" s="10" t="s">
        <v>20</v>
      </c>
      <c r="N3" s="8">
        <f t="shared" ref="N3:N66" ca="1" si="0">RANDBETWEEN(4,10)</f>
        <v>10</v>
      </c>
      <c r="O3" s="11" t="s">
        <v>630</v>
      </c>
    </row>
    <row r="4" spans="1:15" x14ac:dyDescent="0.35">
      <c r="A4" s="8">
        <v>2</v>
      </c>
      <c r="B4" s="9" t="s">
        <v>21</v>
      </c>
      <c r="C4" s="10" t="s">
        <v>22</v>
      </c>
      <c r="D4" s="7" t="s">
        <v>23</v>
      </c>
      <c r="E4" s="10" t="s">
        <v>24</v>
      </c>
      <c r="F4" s="10" t="s">
        <v>25</v>
      </c>
      <c r="G4" s="10" t="s">
        <v>612</v>
      </c>
      <c r="H4" s="8">
        <v>2018</v>
      </c>
      <c r="I4" s="10" t="s">
        <v>26</v>
      </c>
      <c r="J4" s="12">
        <v>355142</v>
      </c>
      <c r="K4" s="10" t="s">
        <v>27</v>
      </c>
      <c r="L4" s="10" t="s">
        <v>28</v>
      </c>
      <c r="M4" s="10" t="s">
        <v>29</v>
      </c>
      <c r="N4" s="8">
        <f t="shared" ca="1" si="0"/>
        <v>5</v>
      </c>
      <c r="O4" s="11" t="s">
        <v>631</v>
      </c>
    </row>
    <row r="5" spans="1:15" x14ac:dyDescent="0.35">
      <c r="A5" s="8">
        <v>3</v>
      </c>
      <c r="B5" s="9" t="s">
        <v>30</v>
      </c>
      <c r="C5" s="10" t="s">
        <v>31</v>
      </c>
      <c r="D5" s="7" t="s">
        <v>32</v>
      </c>
      <c r="E5" s="10" t="s">
        <v>33</v>
      </c>
      <c r="F5" s="10" t="s">
        <v>34</v>
      </c>
      <c r="G5" s="10" t="s">
        <v>613</v>
      </c>
      <c r="H5" s="8">
        <v>2022</v>
      </c>
      <c r="I5" s="10" t="s">
        <v>26</v>
      </c>
      <c r="J5" s="12">
        <v>606072</v>
      </c>
      <c r="K5" s="10" t="s">
        <v>27</v>
      </c>
      <c r="L5" s="10" t="s">
        <v>19</v>
      </c>
      <c r="M5" s="10" t="s">
        <v>35</v>
      </c>
      <c r="N5" s="8">
        <f t="shared" ca="1" si="0"/>
        <v>4</v>
      </c>
      <c r="O5" s="11" t="s">
        <v>632</v>
      </c>
    </row>
    <row r="6" spans="1:15" x14ac:dyDescent="0.35">
      <c r="A6" s="8">
        <v>4</v>
      </c>
      <c r="B6" s="9" t="s">
        <v>36</v>
      </c>
      <c r="C6" s="10" t="s">
        <v>37</v>
      </c>
      <c r="D6" s="7" t="s">
        <v>38</v>
      </c>
      <c r="E6" s="10" t="s">
        <v>15</v>
      </c>
      <c r="F6" s="10" t="s">
        <v>39</v>
      </c>
      <c r="G6" s="10" t="s">
        <v>614</v>
      </c>
      <c r="H6" s="8">
        <v>2023</v>
      </c>
      <c r="I6" s="10" t="s">
        <v>40</v>
      </c>
      <c r="J6" s="12">
        <v>399356</v>
      </c>
      <c r="K6" s="10" t="s">
        <v>18</v>
      </c>
      <c r="L6" s="10" t="s">
        <v>28</v>
      </c>
      <c r="M6" s="10" t="s">
        <v>41</v>
      </c>
      <c r="N6" s="8">
        <f t="shared" ca="1" si="0"/>
        <v>6</v>
      </c>
      <c r="O6" s="11" t="s">
        <v>630</v>
      </c>
    </row>
    <row r="7" spans="1:15" x14ac:dyDescent="0.35">
      <c r="A7" s="8">
        <v>5</v>
      </c>
      <c r="B7" s="9" t="s">
        <v>42</v>
      </c>
      <c r="C7" s="10" t="s">
        <v>43</v>
      </c>
      <c r="D7" s="7" t="s">
        <v>44</v>
      </c>
      <c r="E7" s="10" t="s">
        <v>24</v>
      </c>
      <c r="F7" s="10" t="s">
        <v>45</v>
      </c>
      <c r="G7" s="10" t="s">
        <v>615</v>
      </c>
      <c r="H7" s="8">
        <v>2022</v>
      </c>
      <c r="I7" s="10" t="s">
        <v>17</v>
      </c>
      <c r="J7" s="12">
        <v>744077</v>
      </c>
      <c r="K7" s="10" t="s">
        <v>27</v>
      </c>
      <c r="L7" s="10" t="s">
        <v>19</v>
      </c>
      <c r="M7" s="10" t="s">
        <v>29</v>
      </c>
      <c r="N7" s="8">
        <f t="shared" ca="1" si="0"/>
        <v>9</v>
      </c>
      <c r="O7" s="11" t="s">
        <v>633</v>
      </c>
    </row>
    <row r="8" spans="1:15" x14ac:dyDescent="0.35">
      <c r="A8" s="8">
        <v>6</v>
      </c>
      <c r="B8" s="9" t="s">
        <v>46</v>
      </c>
      <c r="C8" s="10" t="s">
        <v>37</v>
      </c>
      <c r="D8" s="7" t="s">
        <v>47</v>
      </c>
      <c r="E8" s="10" t="s">
        <v>48</v>
      </c>
      <c r="F8" s="10" t="s">
        <v>34</v>
      </c>
      <c r="G8" s="10" t="s">
        <v>616</v>
      </c>
      <c r="H8" s="8">
        <v>2019</v>
      </c>
      <c r="I8" s="10" t="s">
        <v>17</v>
      </c>
      <c r="J8" s="12">
        <v>1973064</v>
      </c>
      <c r="K8" s="10" t="s">
        <v>18</v>
      </c>
      <c r="L8" s="10" t="s">
        <v>19</v>
      </c>
      <c r="M8" s="10" t="s">
        <v>49</v>
      </c>
      <c r="N8" s="8">
        <f t="shared" ca="1" si="0"/>
        <v>5</v>
      </c>
      <c r="O8" s="11" t="s">
        <v>632</v>
      </c>
    </row>
    <row r="9" spans="1:15" x14ac:dyDescent="0.35">
      <c r="A9" s="8">
        <v>7</v>
      </c>
      <c r="B9" s="9" t="s">
        <v>50</v>
      </c>
      <c r="C9" s="10" t="s">
        <v>51</v>
      </c>
      <c r="D9" s="7" t="s">
        <v>52</v>
      </c>
      <c r="E9" s="10" t="s">
        <v>24</v>
      </c>
      <c r="F9" s="10" t="s">
        <v>53</v>
      </c>
      <c r="G9" s="10" t="s">
        <v>611</v>
      </c>
      <c r="H9" s="8">
        <v>2015</v>
      </c>
      <c r="I9" s="10" t="s">
        <v>17</v>
      </c>
      <c r="J9" s="12">
        <v>1045900</v>
      </c>
      <c r="K9" s="10" t="s">
        <v>18</v>
      </c>
      <c r="L9" s="10" t="s">
        <v>28</v>
      </c>
      <c r="M9" s="10" t="s">
        <v>20</v>
      </c>
      <c r="N9" s="8">
        <f t="shared" ca="1" si="0"/>
        <v>9</v>
      </c>
      <c r="O9" s="11" t="s">
        <v>632</v>
      </c>
    </row>
    <row r="10" spans="1:15" x14ac:dyDescent="0.35">
      <c r="A10" s="8">
        <v>8</v>
      </c>
      <c r="B10" s="9" t="s">
        <v>54</v>
      </c>
      <c r="C10" s="10" t="s">
        <v>55</v>
      </c>
      <c r="D10" s="7" t="s">
        <v>56</v>
      </c>
      <c r="E10" s="10" t="s">
        <v>33</v>
      </c>
      <c r="F10" s="10" t="s">
        <v>16</v>
      </c>
      <c r="G10" s="10" t="s">
        <v>612</v>
      </c>
      <c r="H10" s="8">
        <v>2017</v>
      </c>
      <c r="I10" s="10" t="s">
        <v>57</v>
      </c>
      <c r="J10" s="12">
        <v>1767254</v>
      </c>
      <c r="K10" s="10" t="s">
        <v>27</v>
      </c>
      <c r="L10" s="10" t="s">
        <v>28</v>
      </c>
      <c r="M10" s="10" t="s">
        <v>41</v>
      </c>
      <c r="N10" s="8">
        <f t="shared" ca="1" si="0"/>
        <v>9</v>
      </c>
      <c r="O10" s="11" t="s">
        <v>632</v>
      </c>
    </row>
    <row r="11" spans="1:15" x14ac:dyDescent="0.35">
      <c r="A11" s="8">
        <v>9</v>
      </c>
      <c r="B11" s="9" t="s">
        <v>58</v>
      </c>
      <c r="C11" s="10" t="s">
        <v>37</v>
      </c>
      <c r="D11" s="7" t="s">
        <v>59</v>
      </c>
      <c r="E11" s="10" t="s">
        <v>24</v>
      </c>
      <c r="F11" s="10" t="s">
        <v>60</v>
      </c>
      <c r="G11" s="10" t="s">
        <v>613</v>
      </c>
      <c r="H11" s="8">
        <v>2019</v>
      </c>
      <c r="I11" s="10" t="s">
        <v>17</v>
      </c>
      <c r="J11" s="12">
        <v>517389</v>
      </c>
      <c r="K11" s="10" t="s">
        <v>18</v>
      </c>
      <c r="L11" s="10" t="s">
        <v>28</v>
      </c>
      <c r="M11" s="10" t="s">
        <v>35</v>
      </c>
      <c r="N11" s="8">
        <f t="shared" ca="1" si="0"/>
        <v>7</v>
      </c>
      <c r="O11" s="11" t="s">
        <v>633</v>
      </c>
    </row>
    <row r="12" spans="1:15" x14ac:dyDescent="0.35">
      <c r="A12" s="8">
        <v>10</v>
      </c>
      <c r="B12" s="9" t="s">
        <v>61</v>
      </c>
      <c r="C12" s="10" t="s">
        <v>62</v>
      </c>
      <c r="D12" s="7" t="s">
        <v>63</v>
      </c>
      <c r="E12" s="10" t="s">
        <v>33</v>
      </c>
      <c r="F12" s="10" t="s">
        <v>16</v>
      </c>
      <c r="G12" s="10" t="s">
        <v>614</v>
      </c>
      <c r="H12" s="8">
        <v>2020</v>
      </c>
      <c r="I12" s="10" t="s">
        <v>17</v>
      </c>
      <c r="J12" s="12">
        <v>924113</v>
      </c>
      <c r="K12" s="10" t="s">
        <v>18</v>
      </c>
      <c r="L12" s="10" t="s">
        <v>19</v>
      </c>
      <c r="M12" s="10" t="s">
        <v>20</v>
      </c>
      <c r="N12" s="8">
        <f t="shared" ca="1" si="0"/>
        <v>9</v>
      </c>
      <c r="O12" s="11" t="s">
        <v>634</v>
      </c>
    </row>
    <row r="13" spans="1:15" x14ac:dyDescent="0.35">
      <c r="A13" s="8">
        <v>11</v>
      </c>
      <c r="B13" s="9" t="s">
        <v>64</v>
      </c>
      <c r="C13" s="10" t="s">
        <v>37</v>
      </c>
      <c r="D13" s="7" t="s">
        <v>65</v>
      </c>
      <c r="E13" s="10" t="s">
        <v>15</v>
      </c>
      <c r="F13" s="10" t="s">
        <v>53</v>
      </c>
      <c r="G13" s="10" t="s">
        <v>615</v>
      </c>
      <c r="H13" s="8">
        <v>2023</v>
      </c>
      <c r="I13" s="10" t="s">
        <v>26</v>
      </c>
      <c r="J13" s="12">
        <v>958633</v>
      </c>
      <c r="K13" s="10" t="s">
        <v>66</v>
      </c>
      <c r="L13" s="10" t="s">
        <v>19</v>
      </c>
      <c r="M13" s="10" t="s">
        <v>35</v>
      </c>
      <c r="N13" s="8">
        <f t="shared" ca="1" si="0"/>
        <v>7</v>
      </c>
      <c r="O13" s="11" t="s">
        <v>634</v>
      </c>
    </row>
    <row r="14" spans="1:15" x14ac:dyDescent="0.35">
      <c r="A14" s="8">
        <v>12</v>
      </c>
      <c r="B14" s="9" t="s">
        <v>67</v>
      </c>
      <c r="C14" s="10" t="s">
        <v>13</v>
      </c>
      <c r="D14" s="7" t="s">
        <v>68</v>
      </c>
      <c r="E14" s="10" t="s">
        <v>33</v>
      </c>
      <c r="F14" s="10" t="s">
        <v>53</v>
      </c>
      <c r="G14" s="10" t="s">
        <v>616</v>
      </c>
      <c r="H14" s="8">
        <v>2016</v>
      </c>
      <c r="I14" s="10" t="s">
        <v>26</v>
      </c>
      <c r="J14" s="12">
        <v>611627</v>
      </c>
      <c r="K14" s="10" t="s">
        <v>27</v>
      </c>
      <c r="L14" s="10" t="s">
        <v>19</v>
      </c>
      <c r="M14" s="10" t="s">
        <v>49</v>
      </c>
      <c r="N14" s="8">
        <f t="shared" ca="1" si="0"/>
        <v>8</v>
      </c>
      <c r="O14" s="11" t="s">
        <v>631</v>
      </c>
    </row>
    <row r="15" spans="1:15" x14ac:dyDescent="0.35">
      <c r="A15" s="8">
        <v>13</v>
      </c>
      <c r="B15" s="9" t="s">
        <v>69</v>
      </c>
      <c r="C15" s="10" t="s">
        <v>51</v>
      </c>
      <c r="D15" s="7" t="s">
        <v>70</v>
      </c>
      <c r="E15" s="10" t="s">
        <v>24</v>
      </c>
      <c r="F15" s="10" t="s">
        <v>34</v>
      </c>
      <c r="G15" s="10" t="s">
        <v>611</v>
      </c>
      <c r="H15" s="8">
        <v>2024</v>
      </c>
      <c r="I15" s="10" t="s">
        <v>40</v>
      </c>
      <c r="J15" s="12">
        <v>1791210</v>
      </c>
      <c r="K15" s="10" t="s">
        <v>18</v>
      </c>
      <c r="L15" s="10" t="s">
        <v>19</v>
      </c>
      <c r="M15" s="10" t="s">
        <v>20</v>
      </c>
      <c r="N15" s="8">
        <f t="shared" ca="1" si="0"/>
        <v>6</v>
      </c>
      <c r="O15" s="11" t="s">
        <v>631</v>
      </c>
    </row>
    <row r="16" spans="1:15" x14ac:dyDescent="0.35">
      <c r="A16" s="8">
        <v>14</v>
      </c>
      <c r="B16" s="9" t="s">
        <v>71</v>
      </c>
      <c r="C16" s="10" t="s">
        <v>37</v>
      </c>
      <c r="D16" s="7" t="s">
        <v>72</v>
      </c>
      <c r="E16" s="10" t="s">
        <v>33</v>
      </c>
      <c r="F16" s="10" t="s">
        <v>53</v>
      </c>
      <c r="G16" s="10" t="s">
        <v>612</v>
      </c>
      <c r="H16" s="8">
        <v>2017</v>
      </c>
      <c r="I16" s="10" t="s">
        <v>57</v>
      </c>
      <c r="J16" s="12">
        <v>1672857</v>
      </c>
      <c r="K16" s="10" t="s">
        <v>66</v>
      </c>
      <c r="L16" s="10" t="s">
        <v>28</v>
      </c>
      <c r="M16" s="10" t="s">
        <v>29</v>
      </c>
      <c r="N16" s="8">
        <f t="shared" ca="1" si="0"/>
        <v>7</v>
      </c>
      <c r="O16" s="11" t="s">
        <v>633</v>
      </c>
    </row>
    <row r="17" spans="1:15" x14ac:dyDescent="0.35">
      <c r="A17" s="8">
        <v>15</v>
      </c>
      <c r="B17" s="9" t="s">
        <v>73</v>
      </c>
      <c r="C17" s="10" t="s">
        <v>55</v>
      </c>
      <c r="D17" s="7" t="s">
        <v>74</v>
      </c>
      <c r="E17" s="10" t="s">
        <v>75</v>
      </c>
      <c r="F17" s="10" t="s">
        <v>60</v>
      </c>
      <c r="G17" s="10" t="s">
        <v>613</v>
      </c>
      <c r="H17" s="8">
        <v>2024</v>
      </c>
      <c r="I17" s="10" t="s">
        <v>17</v>
      </c>
      <c r="J17" s="12">
        <v>371048</v>
      </c>
      <c r="K17" s="10" t="s">
        <v>66</v>
      </c>
      <c r="L17" s="10" t="s">
        <v>19</v>
      </c>
      <c r="M17" s="10" t="s">
        <v>49</v>
      </c>
      <c r="N17" s="8">
        <f t="shared" ca="1" si="0"/>
        <v>6</v>
      </c>
      <c r="O17" s="11" t="s">
        <v>632</v>
      </c>
    </row>
    <row r="18" spans="1:15" x14ac:dyDescent="0.35">
      <c r="A18" s="8">
        <v>16</v>
      </c>
      <c r="B18" s="9" t="s">
        <v>76</v>
      </c>
      <c r="C18" s="10" t="s">
        <v>77</v>
      </c>
      <c r="D18" s="7" t="s">
        <v>78</v>
      </c>
      <c r="E18" s="10" t="s">
        <v>75</v>
      </c>
      <c r="F18" s="10" t="s">
        <v>39</v>
      </c>
      <c r="G18" s="10" t="s">
        <v>614</v>
      </c>
      <c r="H18" s="8">
        <v>2022</v>
      </c>
      <c r="I18" s="10" t="s">
        <v>40</v>
      </c>
      <c r="J18" s="12">
        <v>742709</v>
      </c>
      <c r="K18" s="10" t="s">
        <v>27</v>
      </c>
      <c r="L18" s="10" t="s">
        <v>19</v>
      </c>
      <c r="M18" s="10" t="s">
        <v>35</v>
      </c>
      <c r="N18" s="8">
        <f t="shared" ca="1" si="0"/>
        <v>5</v>
      </c>
      <c r="O18" s="11" t="s">
        <v>633</v>
      </c>
    </row>
    <row r="19" spans="1:15" x14ac:dyDescent="0.35">
      <c r="A19" s="8">
        <v>17</v>
      </c>
      <c r="B19" s="9" t="s">
        <v>79</v>
      </c>
      <c r="C19" s="10" t="s">
        <v>80</v>
      </c>
      <c r="D19" s="7" t="s">
        <v>81</v>
      </c>
      <c r="E19" s="10" t="s">
        <v>33</v>
      </c>
      <c r="F19" s="10" t="s">
        <v>34</v>
      </c>
      <c r="G19" s="10" t="s">
        <v>615</v>
      </c>
      <c r="H19" s="8">
        <v>2015</v>
      </c>
      <c r="I19" s="10" t="s">
        <v>82</v>
      </c>
      <c r="J19" s="12">
        <v>1531226</v>
      </c>
      <c r="K19" s="10" t="s">
        <v>66</v>
      </c>
      <c r="L19" s="10" t="s">
        <v>19</v>
      </c>
      <c r="M19" s="10" t="s">
        <v>20</v>
      </c>
      <c r="N19" s="8">
        <f t="shared" ca="1" si="0"/>
        <v>8</v>
      </c>
      <c r="O19" s="11" t="s">
        <v>630</v>
      </c>
    </row>
    <row r="20" spans="1:15" x14ac:dyDescent="0.35">
      <c r="A20" s="8">
        <v>18</v>
      </c>
      <c r="B20" s="9" t="s">
        <v>83</v>
      </c>
      <c r="C20" s="10" t="s">
        <v>77</v>
      </c>
      <c r="D20" s="7" t="s">
        <v>84</v>
      </c>
      <c r="E20" s="10" t="s">
        <v>48</v>
      </c>
      <c r="F20" s="10" t="s">
        <v>45</v>
      </c>
      <c r="G20" s="10" t="s">
        <v>616</v>
      </c>
      <c r="H20" s="8">
        <v>2020</v>
      </c>
      <c r="I20" s="10" t="s">
        <v>26</v>
      </c>
      <c r="J20" s="12">
        <v>551645</v>
      </c>
      <c r="K20" s="10" t="s">
        <v>18</v>
      </c>
      <c r="L20" s="10" t="s">
        <v>28</v>
      </c>
      <c r="M20" s="10" t="s">
        <v>41</v>
      </c>
      <c r="N20" s="8">
        <f t="shared" ca="1" si="0"/>
        <v>8</v>
      </c>
      <c r="O20" s="11" t="s">
        <v>631</v>
      </c>
    </row>
    <row r="21" spans="1:15" x14ac:dyDescent="0.35">
      <c r="A21" s="8">
        <v>19</v>
      </c>
      <c r="B21" s="9" t="s">
        <v>85</v>
      </c>
      <c r="C21" s="10" t="s">
        <v>31</v>
      </c>
      <c r="D21" s="7" t="s">
        <v>86</v>
      </c>
      <c r="E21" s="10" t="s">
        <v>75</v>
      </c>
      <c r="F21" s="10" t="s">
        <v>87</v>
      </c>
      <c r="G21" s="10" t="s">
        <v>611</v>
      </c>
      <c r="H21" s="8">
        <v>2021</v>
      </c>
      <c r="I21" s="10" t="s">
        <v>82</v>
      </c>
      <c r="J21" s="12">
        <v>1051949</v>
      </c>
      <c r="K21" s="10" t="s">
        <v>27</v>
      </c>
      <c r="L21" s="10" t="s">
        <v>19</v>
      </c>
      <c r="M21" s="10" t="s">
        <v>49</v>
      </c>
      <c r="N21" s="8">
        <f t="shared" ca="1" si="0"/>
        <v>4</v>
      </c>
      <c r="O21" s="11" t="s">
        <v>631</v>
      </c>
    </row>
    <row r="22" spans="1:15" x14ac:dyDescent="0.35">
      <c r="A22" s="8">
        <v>20</v>
      </c>
      <c r="B22" s="9" t="s">
        <v>88</v>
      </c>
      <c r="C22" s="10" t="s">
        <v>13</v>
      </c>
      <c r="D22" s="7" t="s">
        <v>89</v>
      </c>
      <c r="E22" s="10" t="s">
        <v>75</v>
      </c>
      <c r="F22" s="10" t="s">
        <v>90</v>
      </c>
      <c r="G22" s="10" t="s">
        <v>612</v>
      </c>
      <c r="H22" s="8">
        <v>2020</v>
      </c>
      <c r="I22" s="10" t="s">
        <v>26</v>
      </c>
      <c r="J22" s="12">
        <v>851217</v>
      </c>
      <c r="K22" s="10" t="s">
        <v>66</v>
      </c>
      <c r="L22" s="10" t="s">
        <v>28</v>
      </c>
      <c r="M22" s="10" t="s">
        <v>29</v>
      </c>
      <c r="N22" s="8">
        <f t="shared" ca="1" si="0"/>
        <v>10</v>
      </c>
      <c r="O22" s="11" t="s">
        <v>632</v>
      </c>
    </row>
    <row r="23" spans="1:15" x14ac:dyDescent="0.35">
      <c r="A23" s="8">
        <v>21</v>
      </c>
      <c r="B23" s="9" t="s">
        <v>91</v>
      </c>
      <c r="C23" s="10" t="s">
        <v>13</v>
      </c>
      <c r="D23" s="7" t="s">
        <v>92</v>
      </c>
      <c r="E23" s="10" t="s">
        <v>33</v>
      </c>
      <c r="F23" s="10" t="s">
        <v>90</v>
      </c>
      <c r="G23" s="10" t="s">
        <v>613</v>
      </c>
      <c r="H23" s="8">
        <v>2016</v>
      </c>
      <c r="I23" s="10" t="s">
        <v>40</v>
      </c>
      <c r="J23" s="12">
        <v>1768631</v>
      </c>
      <c r="K23" s="10" t="s">
        <v>66</v>
      </c>
      <c r="L23" s="10" t="s">
        <v>28</v>
      </c>
      <c r="M23" s="10" t="s">
        <v>29</v>
      </c>
      <c r="N23" s="8">
        <f t="shared" ca="1" si="0"/>
        <v>7</v>
      </c>
      <c r="O23" s="11" t="s">
        <v>634</v>
      </c>
    </row>
    <row r="24" spans="1:15" x14ac:dyDescent="0.35">
      <c r="A24" s="8">
        <v>22</v>
      </c>
      <c r="B24" s="9" t="s">
        <v>93</v>
      </c>
      <c r="C24" s="10" t="s">
        <v>77</v>
      </c>
      <c r="D24" s="7" t="s">
        <v>94</v>
      </c>
      <c r="E24" s="10" t="s">
        <v>33</v>
      </c>
      <c r="F24" s="10" t="s">
        <v>25</v>
      </c>
      <c r="G24" s="10" t="s">
        <v>611</v>
      </c>
      <c r="H24" s="8">
        <v>2022</v>
      </c>
      <c r="I24" s="10" t="s">
        <v>17</v>
      </c>
      <c r="J24" s="12">
        <v>1613941</v>
      </c>
      <c r="K24" s="10" t="s">
        <v>27</v>
      </c>
      <c r="L24" s="10" t="s">
        <v>28</v>
      </c>
      <c r="M24" s="10" t="s">
        <v>29</v>
      </c>
      <c r="N24" s="8">
        <f t="shared" ca="1" si="0"/>
        <v>8</v>
      </c>
      <c r="O24" s="11" t="s">
        <v>634</v>
      </c>
    </row>
    <row r="25" spans="1:15" x14ac:dyDescent="0.35">
      <c r="A25" s="8">
        <v>23</v>
      </c>
      <c r="B25" s="9" t="s">
        <v>95</v>
      </c>
      <c r="C25" s="10" t="s">
        <v>51</v>
      </c>
      <c r="D25" s="7" t="s">
        <v>96</v>
      </c>
      <c r="E25" s="10" t="s">
        <v>33</v>
      </c>
      <c r="F25" s="10" t="s">
        <v>34</v>
      </c>
      <c r="G25" s="10" t="s">
        <v>615</v>
      </c>
      <c r="H25" s="8">
        <v>2020</v>
      </c>
      <c r="I25" s="10" t="s">
        <v>97</v>
      </c>
      <c r="J25" s="12">
        <v>1630580</v>
      </c>
      <c r="K25" s="10" t="s">
        <v>27</v>
      </c>
      <c r="L25" s="10" t="s">
        <v>19</v>
      </c>
      <c r="M25" s="10" t="s">
        <v>20</v>
      </c>
      <c r="N25" s="8">
        <f t="shared" ca="1" si="0"/>
        <v>10</v>
      </c>
      <c r="O25" s="11" t="s">
        <v>631</v>
      </c>
    </row>
    <row r="26" spans="1:15" x14ac:dyDescent="0.35">
      <c r="A26" s="8">
        <v>24</v>
      </c>
      <c r="B26" s="9" t="s">
        <v>98</v>
      </c>
      <c r="C26" s="10" t="s">
        <v>31</v>
      </c>
      <c r="D26" s="7" t="s">
        <v>99</v>
      </c>
      <c r="E26" s="10" t="s">
        <v>15</v>
      </c>
      <c r="F26" s="10" t="s">
        <v>16</v>
      </c>
      <c r="G26" s="10" t="s">
        <v>616</v>
      </c>
      <c r="H26" s="8">
        <v>2017</v>
      </c>
      <c r="I26" s="10" t="s">
        <v>57</v>
      </c>
      <c r="J26" s="12">
        <v>1719955</v>
      </c>
      <c r="K26" s="10" t="s">
        <v>66</v>
      </c>
      <c r="L26" s="10" t="s">
        <v>28</v>
      </c>
      <c r="M26" s="10" t="s">
        <v>41</v>
      </c>
      <c r="N26" s="8">
        <f t="shared" ca="1" si="0"/>
        <v>8</v>
      </c>
      <c r="O26" s="11" t="s">
        <v>632</v>
      </c>
    </row>
    <row r="27" spans="1:15" x14ac:dyDescent="0.35">
      <c r="A27" s="8">
        <v>25</v>
      </c>
      <c r="B27" s="9" t="s">
        <v>100</v>
      </c>
      <c r="C27" s="10" t="s">
        <v>62</v>
      </c>
      <c r="D27" s="7" t="s">
        <v>101</v>
      </c>
      <c r="E27" s="10" t="s">
        <v>48</v>
      </c>
      <c r="F27" s="10" t="s">
        <v>60</v>
      </c>
      <c r="G27" s="10" t="s">
        <v>611</v>
      </c>
      <c r="H27" s="8">
        <v>2023</v>
      </c>
      <c r="I27" s="10" t="s">
        <v>40</v>
      </c>
      <c r="J27" s="12">
        <v>1453933</v>
      </c>
      <c r="K27" s="10" t="s">
        <v>18</v>
      </c>
      <c r="L27" s="10" t="s">
        <v>28</v>
      </c>
      <c r="M27" s="10" t="s">
        <v>35</v>
      </c>
      <c r="N27" s="8">
        <f t="shared" ca="1" si="0"/>
        <v>5</v>
      </c>
      <c r="O27" s="11" t="s">
        <v>630</v>
      </c>
    </row>
    <row r="28" spans="1:15" x14ac:dyDescent="0.35">
      <c r="A28" s="8">
        <v>26</v>
      </c>
      <c r="B28" s="9" t="s">
        <v>102</v>
      </c>
      <c r="C28" s="10" t="s">
        <v>22</v>
      </c>
      <c r="D28" s="7" t="s">
        <v>103</v>
      </c>
      <c r="E28" s="10" t="s">
        <v>48</v>
      </c>
      <c r="F28" s="10" t="s">
        <v>16</v>
      </c>
      <c r="G28" s="10" t="s">
        <v>612</v>
      </c>
      <c r="H28" s="8">
        <v>2022</v>
      </c>
      <c r="I28" s="10" t="s">
        <v>40</v>
      </c>
      <c r="J28" s="12">
        <v>1549744</v>
      </c>
      <c r="K28" s="10" t="s">
        <v>27</v>
      </c>
      <c r="L28" s="10" t="s">
        <v>19</v>
      </c>
      <c r="M28" s="10" t="s">
        <v>20</v>
      </c>
      <c r="N28" s="8">
        <f t="shared" ca="1" si="0"/>
        <v>10</v>
      </c>
      <c r="O28" s="11" t="s">
        <v>631</v>
      </c>
    </row>
    <row r="29" spans="1:15" x14ac:dyDescent="0.35">
      <c r="A29" s="8">
        <v>27</v>
      </c>
      <c r="B29" s="9" t="s">
        <v>104</v>
      </c>
      <c r="C29" s="10" t="s">
        <v>51</v>
      </c>
      <c r="D29" s="7" t="s">
        <v>105</v>
      </c>
      <c r="E29" s="10" t="s">
        <v>33</v>
      </c>
      <c r="F29" s="10" t="s">
        <v>106</v>
      </c>
      <c r="G29" s="10" t="s">
        <v>613</v>
      </c>
      <c r="H29" s="8">
        <v>2020</v>
      </c>
      <c r="I29" s="10" t="s">
        <v>26</v>
      </c>
      <c r="J29" s="12">
        <v>524744</v>
      </c>
      <c r="K29" s="10" t="s">
        <v>27</v>
      </c>
      <c r="L29" s="10" t="s">
        <v>19</v>
      </c>
      <c r="M29" s="10" t="s">
        <v>49</v>
      </c>
      <c r="N29" s="8">
        <f t="shared" ca="1" si="0"/>
        <v>4</v>
      </c>
      <c r="O29" s="11" t="s">
        <v>630</v>
      </c>
    </row>
    <row r="30" spans="1:15" x14ac:dyDescent="0.35">
      <c r="A30" s="8">
        <v>28</v>
      </c>
      <c r="B30" s="9" t="s">
        <v>107</v>
      </c>
      <c r="C30" s="10" t="s">
        <v>22</v>
      </c>
      <c r="D30" s="7" t="s">
        <v>108</v>
      </c>
      <c r="E30" s="10" t="s">
        <v>75</v>
      </c>
      <c r="F30" s="10" t="s">
        <v>106</v>
      </c>
      <c r="G30" s="10" t="s">
        <v>614</v>
      </c>
      <c r="H30" s="8">
        <v>2023</v>
      </c>
      <c r="I30" s="10" t="s">
        <v>17</v>
      </c>
      <c r="J30" s="12">
        <v>1583405</v>
      </c>
      <c r="K30" s="10" t="s">
        <v>27</v>
      </c>
      <c r="L30" s="10" t="s">
        <v>28</v>
      </c>
      <c r="M30" s="10" t="s">
        <v>29</v>
      </c>
      <c r="N30" s="8">
        <f t="shared" ca="1" si="0"/>
        <v>5</v>
      </c>
      <c r="O30" s="11" t="s">
        <v>634</v>
      </c>
    </row>
    <row r="31" spans="1:15" x14ac:dyDescent="0.35">
      <c r="A31" s="8">
        <v>29</v>
      </c>
      <c r="B31" s="9" t="s">
        <v>109</v>
      </c>
      <c r="C31" s="10" t="s">
        <v>51</v>
      </c>
      <c r="D31" s="7" t="s">
        <v>110</v>
      </c>
      <c r="E31" s="10" t="s">
        <v>24</v>
      </c>
      <c r="F31" s="10" t="s">
        <v>16</v>
      </c>
      <c r="G31" s="10" t="s">
        <v>615</v>
      </c>
      <c r="H31" s="8">
        <v>2016</v>
      </c>
      <c r="I31" s="10" t="s">
        <v>57</v>
      </c>
      <c r="J31" s="12">
        <v>841829</v>
      </c>
      <c r="K31" s="10" t="s">
        <v>66</v>
      </c>
      <c r="L31" s="10" t="s">
        <v>28</v>
      </c>
      <c r="M31" s="10" t="s">
        <v>29</v>
      </c>
      <c r="N31" s="8">
        <f t="shared" ca="1" si="0"/>
        <v>7</v>
      </c>
      <c r="O31" s="11" t="s">
        <v>630</v>
      </c>
    </row>
    <row r="32" spans="1:15" x14ac:dyDescent="0.35">
      <c r="A32" s="8">
        <v>30</v>
      </c>
      <c r="B32" s="9" t="s">
        <v>111</v>
      </c>
      <c r="C32" s="10" t="s">
        <v>43</v>
      </c>
      <c r="D32" s="7" t="s">
        <v>112</v>
      </c>
      <c r="E32" s="10" t="s">
        <v>24</v>
      </c>
      <c r="F32" s="10" t="s">
        <v>39</v>
      </c>
      <c r="G32" s="10" t="s">
        <v>616</v>
      </c>
      <c r="H32" s="8">
        <v>2015</v>
      </c>
      <c r="I32" s="10" t="s">
        <v>40</v>
      </c>
      <c r="J32" s="12">
        <v>684152</v>
      </c>
      <c r="K32" s="10" t="s">
        <v>27</v>
      </c>
      <c r="L32" s="10" t="s">
        <v>19</v>
      </c>
      <c r="M32" s="10" t="s">
        <v>20</v>
      </c>
      <c r="N32" s="8">
        <f t="shared" ca="1" si="0"/>
        <v>10</v>
      </c>
      <c r="O32" s="11" t="s">
        <v>633</v>
      </c>
    </row>
    <row r="33" spans="1:15" x14ac:dyDescent="0.35">
      <c r="A33" s="8">
        <v>31</v>
      </c>
      <c r="B33" s="9" t="s">
        <v>113</v>
      </c>
      <c r="C33" s="10" t="s">
        <v>37</v>
      </c>
      <c r="D33" s="7" t="s">
        <v>114</v>
      </c>
      <c r="E33" s="10" t="s">
        <v>48</v>
      </c>
      <c r="F33" s="10" t="s">
        <v>45</v>
      </c>
      <c r="G33" s="10" t="s">
        <v>611</v>
      </c>
      <c r="H33" s="8">
        <v>2021</v>
      </c>
      <c r="I33" s="10" t="s">
        <v>40</v>
      </c>
      <c r="J33" s="12">
        <v>1222399</v>
      </c>
      <c r="K33" s="10" t="s">
        <v>66</v>
      </c>
      <c r="L33" s="10" t="s">
        <v>19</v>
      </c>
      <c r="M33" s="10" t="s">
        <v>29</v>
      </c>
      <c r="N33" s="8">
        <f t="shared" ca="1" si="0"/>
        <v>6</v>
      </c>
      <c r="O33" s="11" t="s">
        <v>632</v>
      </c>
    </row>
    <row r="34" spans="1:15" x14ac:dyDescent="0.35">
      <c r="A34" s="8">
        <v>32</v>
      </c>
      <c r="B34" s="9" t="s">
        <v>115</v>
      </c>
      <c r="C34" s="10" t="s">
        <v>43</v>
      </c>
      <c r="D34" s="7" t="s">
        <v>116</v>
      </c>
      <c r="E34" s="10" t="s">
        <v>48</v>
      </c>
      <c r="F34" s="10" t="s">
        <v>60</v>
      </c>
      <c r="G34" s="10" t="s">
        <v>612</v>
      </c>
      <c r="H34" s="8">
        <v>2018</v>
      </c>
      <c r="I34" s="10" t="s">
        <v>17</v>
      </c>
      <c r="J34" s="12">
        <v>1034011</v>
      </c>
      <c r="K34" s="10" t="s">
        <v>27</v>
      </c>
      <c r="L34" s="10" t="s">
        <v>19</v>
      </c>
      <c r="M34" s="10" t="s">
        <v>35</v>
      </c>
      <c r="N34" s="8">
        <f t="shared" ca="1" si="0"/>
        <v>9</v>
      </c>
      <c r="O34" s="11" t="s">
        <v>631</v>
      </c>
    </row>
    <row r="35" spans="1:15" x14ac:dyDescent="0.35">
      <c r="A35" s="8">
        <v>33</v>
      </c>
      <c r="B35" s="9" t="s">
        <v>117</v>
      </c>
      <c r="C35" s="10" t="s">
        <v>80</v>
      </c>
      <c r="D35" s="7" t="s">
        <v>118</v>
      </c>
      <c r="E35" s="10" t="s">
        <v>24</v>
      </c>
      <c r="F35" s="10" t="s">
        <v>39</v>
      </c>
      <c r="G35" s="10" t="s">
        <v>613</v>
      </c>
      <c r="H35" s="8">
        <v>2015</v>
      </c>
      <c r="I35" s="10" t="s">
        <v>40</v>
      </c>
      <c r="J35" s="12">
        <v>949085</v>
      </c>
      <c r="K35" s="10" t="s">
        <v>27</v>
      </c>
      <c r="L35" s="10" t="s">
        <v>19</v>
      </c>
      <c r="M35" s="10" t="s">
        <v>41</v>
      </c>
      <c r="N35" s="8">
        <f t="shared" ca="1" si="0"/>
        <v>7</v>
      </c>
      <c r="O35" s="11" t="s">
        <v>634</v>
      </c>
    </row>
    <row r="36" spans="1:15" x14ac:dyDescent="0.35">
      <c r="A36" s="8">
        <v>34</v>
      </c>
      <c r="B36" s="9" t="s">
        <v>119</v>
      </c>
      <c r="C36" s="10" t="s">
        <v>51</v>
      </c>
      <c r="D36" s="7" t="s">
        <v>120</v>
      </c>
      <c r="E36" s="10" t="s">
        <v>15</v>
      </c>
      <c r="F36" s="10" t="s">
        <v>16</v>
      </c>
      <c r="G36" s="10" t="s">
        <v>614</v>
      </c>
      <c r="H36" s="8">
        <v>2021</v>
      </c>
      <c r="I36" s="10" t="s">
        <v>57</v>
      </c>
      <c r="J36" s="12">
        <v>1915438</v>
      </c>
      <c r="K36" s="10" t="s">
        <v>66</v>
      </c>
      <c r="L36" s="10" t="s">
        <v>28</v>
      </c>
      <c r="M36" s="10" t="s">
        <v>20</v>
      </c>
      <c r="N36" s="8">
        <f t="shared" ca="1" si="0"/>
        <v>5</v>
      </c>
      <c r="O36" s="11" t="s">
        <v>631</v>
      </c>
    </row>
    <row r="37" spans="1:15" x14ac:dyDescent="0.35">
      <c r="A37" s="8">
        <v>35</v>
      </c>
      <c r="B37" s="9" t="s">
        <v>121</v>
      </c>
      <c r="C37" s="10" t="s">
        <v>51</v>
      </c>
      <c r="D37" s="7" t="s">
        <v>122</v>
      </c>
      <c r="E37" s="10" t="s">
        <v>33</v>
      </c>
      <c r="F37" s="10" t="s">
        <v>60</v>
      </c>
      <c r="G37" s="10" t="s">
        <v>615</v>
      </c>
      <c r="H37" s="8">
        <v>2024</v>
      </c>
      <c r="I37" s="10" t="s">
        <v>57</v>
      </c>
      <c r="J37" s="12">
        <v>1702733</v>
      </c>
      <c r="K37" s="10" t="s">
        <v>66</v>
      </c>
      <c r="L37" s="10" t="s">
        <v>28</v>
      </c>
      <c r="M37" s="10" t="s">
        <v>49</v>
      </c>
      <c r="N37" s="8">
        <f t="shared" ca="1" si="0"/>
        <v>9</v>
      </c>
      <c r="O37" s="11" t="s">
        <v>630</v>
      </c>
    </row>
    <row r="38" spans="1:15" x14ac:dyDescent="0.35">
      <c r="A38" s="8">
        <v>36</v>
      </c>
      <c r="B38" s="9" t="s">
        <v>123</v>
      </c>
      <c r="C38" s="10" t="s">
        <v>51</v>
      </c>
      <c r="D38" s="7" t="s">
        <v>124</v>
      </c>
      <c r="E38" s="10" t="s">
        <v>75</v>
      </c>
      <c r="F38" s="10" t="s">
        <v>16</v>
      </c>
      <c r="G38" s="10" t="s">
        <v>616</v>
      </c>
      <c r="H38" s="8">
        <v>2022</v>
      </c>
      <c r="I38" s="10" t="s">
        <v>82</v>
      </c>
      <c r="J38" s="12">
        <v>1521208</v>
      </c>
      <c r="K38" s="10" t="s">
        <v>27</v>
      </c>
      <c r="L38" s="10" t="s">
        <v>19</v>
      </c>
      <c r="M38" s="10" t="s">
        <v>29</v>
      </c>
      <c r="N38" s="8">
        <f t="shared" ca="1" si="0"/>
        <v>10</v>
      </c>
      <c r="O38" s="11" t="s">
        <v>632</v>
      </c>
    </row>
    <row r="39" spans="1:15" x14ac:dyDescent="0.35">
      <c r="A39" s="8">
        <v>37</v>
      </c>
      <c r="B39" s="9" t="s">
        <v>125</v>
      </c>
      <c r="C39" s="10" t="s">
        <v>55</v>
      </c>
      <c r="D39" s="7" t="s">
        <v>126</v>
      </c>
      <c r="E39" s="10" t="s">
        <v>33</v>
      </c>
      <c r="F39" s="10" t="s">
        <v>87</v>
      </c>
      <c r="G39" s="10" t="s">
        <v>611</v>
      </c>
      <c r="H39" s="8">
        <v>2021</v>
      </c>
      <c r="I39" s="10" t="s">
        <v>82</v>
      </c>
      <c r="J39" s="12">
        <v>938675</v>
      </c>
      <c r="K39" s="10" t="s">
        <v>18</v>
      </c>
      <c r="L39" s="10" t="s">
        <v>28</v>
      </c>
      <c r="M39" s="10" t="s">
        <v>20</v>
      </c>
      <c r="N39" s="8">
        <f t="shared" ca="1" si="0"/>
        <v>10</v>
      </c>
      <c r="O39" s="11" t="s">
        <v>631</v>
      </c>
    </row>
    <row r="40" spans="1:15" x14ac:dyDescent="0.35">
      <c r="A40" s="8">
        <v>38</v>
      </c>
      <c r="B40" s="9" t="s">
        <v>127</v>
      </c>
      <c r="C40" s="10" t="s">
        <v>31</v>
      </c>
      <c r="D40" s="7" t="s">
        <v>128</v>
      </c>
      <c r="E40" s="10" t="s">
        <v>75</v>
      </c>
      <c r="F40" s="10" t="s">
        <v>90</v>
      </c>
      <c r="G40" s="10" t="s">
        <v>612</v>
      </c>
      <c r="H40" s="8">
        <v>2021</v>
      </c>
      <c r="I40" s="10" t="s">
        <v>40</v>
      </c>
      <c r="J40" s="12">
        <v>417821</v>
      </c>
      <c r="K40" s="10" t="s">
        <v>27</v>
      </c>
      <c r="L40" s="10" t="s">
        <v>28</v>
      </c>
      <c r="M40" s="10" t="s">
        <v>20</v>
      </c>
      <c r="N40" s="8">
        <f t="shared" ca="1" si="0"/>
        <v>10</v>
      </c>
      <c r="O40" s="11" t="s">
        <v>630</v>
      </c>
    </row>
    <row r="41" spans="1:15" x14ac:dyDescent="0.35">
      <c r="A41" s="8">
        <v>39</v>
      </c>
      <c r="B41" s="9" t="s">
        <v>129</v>
      </c>
      <c r="C41" s="10" t="s">
        <v>55</v>
      </c>
      <c r="D41" s="7" t="s">
        <v>130</v>
      </c>
      <c r="E41" s="10" t="s">
        <v>48</v>
      </c>
      <c r="F41" s="10" t="s">
        <v>25</v>
      </c>
      <c r="G41" s="10" t="s">
        <v>613</v>
      </c>
      <c r="H41" s="8">
        <v>2020</v>
      </c>
      <c r="I41" s="10" t="s">
        <v>97</v>
      </c>
      <c r="J41" s="12">
        <v>839830</v>
      </c>
      <c r="K41" s="10" t="s">
        <v>18</v>
      </c>
      <c r="L41" s="10" t="s">
        <v>19</v>
      </c>
      <c r="M41" s="10" t="s">
        <v>20</v>
      </c>
      <c r="N41" s="8">
        <f t="shared" ca="1" si="0"/>
        <v>6</v>
      </c>
      <c r="O41" s="11" t="s">
        <v>632</v>
      </c>
    </row>
    <row r="42" spans="1:15" x14ac:dyDescent="0.35">
      <c r="A42" s="8">
        <v>40</v>
      </c>
      <c r="B42" s="9" t="s">
        <v>131</v>
      </c>
      <c r="C42" s="10" t="s">
        <v>62</v>
      </c>
      <c r="D42" s="7" t="s">
        <v>132</v>
      </c>
      <c r="E42" s="10" t="s">
        <v>24</v>
      </c>
      <c r="F42" s="10" t="s">
        <v>25</v>
      </c>
      <c r="G42" s="10" t="s">
        <v>614</v>
      </c>
      <c r="H42" s="8">
        <v>2015</v>
      </c>
      <c r="I42" s="10" t="s">
        <v>57</v>
      </c>
      <c r="J42" s="12">
        <v>864204</v>
      </c>
      <c r="K42" s="10" t="s">
        <v>27</v>
      </c>
      <c r="L42" s="10" t="s">
        <v>28</v>
      </c>
      <c r="M42" s="10" t="s">
        <v>29</v>
      </c>
      <c r="N42" s="8">
        <f t="shared" ca="1" si="0"/>
        <v>10</v>
      </c>
      <c r="O42" s="11" t="s">
        <v>630</v>
      </c>
    </row>
    <row r="43" spans="1:15" x14ac:dyDescent="0.35">
      <c r="A43" s="8">
        <v>41</v>
      </c>
      <c r="B43" s="9" t="s">
        <v>133</v>
      </c>
      <c r="C43" s="10" t="s">
        <v>31</v>
      </c>
      <c r="D43" s="7" t="s">
        <v>134</v>
      </c>
      <c r="E43" s="10" t="s">
        <v>48</v>
      </c>
      <c r="F43" s="10" t="s">
        <v>45</v>
      </c>
      <c r="G43" s="10" t="s">
        <v>615</v>
      </c>
      <c r="H43" s="8">
        <v>2017</v>
      </c>
      <c r="I43" s="10" t="s">
        <v>17</v>
      </c>
      <c r="J43" s="12">
        <v>1106290</v>
      </c>
      <c r="K43" s="10" t="s">
        <v>27</v>
      </c>
      <c r="L43" s="10" t="s">
        <v>28</v>
      </c>
      <c r="M43" s="10" t="s">
        <v>29</v>
      </c>
      <c r="N43" s="8">
        <f t="shared" ca="1" si="0"/>
        <v>4</v>
      </c>
      <c r="O43" s="11" t="s">
        <v>630</v>
      </c>
    </row>
    <row r="44" spans="1:15" x14ac:dyDescent="0.35">
      <c r="A44" s="8">
        <v>42</v>
      </c>
      <c r="B44" s="9" t="s">
        <v>135</v>
      </c>
      <c r="C44" s="10" t="s">
        <v>22</v>
      </c>
      <c r="D44" s="7" t="s">
        <v>136</v>
      </c>
      <c r="E44" s="10" t="s">
        <v>48</v>
      </c>
      <c r="F44" s="10" t="s">
        <v>16</v>
      </c>
      <c r="G44" s="10" t="s">
        <v>616</v>
      </c>
      <c r="H44" s="8">
        <v>2019</v>
      </c>
      <c r="I44" s="10" t="s">
        <v>40</v>
      </c>
      <c r="J44" s="12">
        <v>1189722</v>
      </c>
      <c r="K44" s="10" t="s">
        <v>27</v>
      </c>
      <c r="L44" s="10" t="s">
        <v>28</v>
      </c>
      <c r="M44" s="10" t="s">
        <v>29</v>
      </c>
      <c r="N44" s="8">
        <f t="shared" ca="1" si="0"/>
        <v>6</v>
      </c>
      <c r="O44" s="11" t="s">
        <v>634</v>
      </c>
    </row>
    <row r="45" spans="1:15" x14ac:dyDescent="0.35">
      <c r="A45" s="8">
        <v>43</v>
      </c>
      <c r="B45" s="9" t="s">
        <v>88</v>
      </c>
      <c r="C45" s="10" t="s">
        <v>80</v>
      </c>
      <c r="D45" s="7" t="s">
        <v>137</v>
      </c>
      <c r="E45" s="10" t="s">
        <v>24</v>
      </c>
      <c r="F45" s="10" t="s">
        <v>90</v>
      </c>
      <c r="G45" s="10" t="s">
        <v>611</v>
      </c>
      <c r="H45" s="8">
        <v>2024</v>
      </c>
      <c r="I45" s="10" t="s">
        <v>17</v>
      </c>
      <c r="J45" s="12">
        <v>1867577</v>
      </c>
      <c r="K45" s="10" t="s">
        <v>66</v>
      </c>
      <c r="L45" s="10" t="s">
        <v>28</v>
      </c>
      <c r="M45" s="10" t="s">
        <v>35</v>
      </c>
      <c r="N45" s="8">
        <f t="shared" ca="1" si="0"/>
        <v>7</v>
      </c>
      <c r="O45" s="11" t="s">
        <v>633</v>
      </c>
    </row>
    <row r="46" spans="1:15" x14ac:dyDescent="0.35">
      <c r="A46" s="8">
        <v>44</v>
      </c>
      <c r="B46" s="9" t="s">
        <v>138</v>
      </c>
      <c r="C46" s="10" t="s">
        <v>13</v>
      </c>
      <c r="D46" s="7" t="s">
        <v>139</v>
      </c>
      <c r="E46" s="10" t="s">
        <v>75</v>
      </c>
      <c r="F46" s="10" t="s">
        <v>25</v>
      </c>
      <c r="G46" s="10" t="s">
        <v>612</v>
      </c>
      <c r="H46" s="8">
        <v>2018</v>
      </c>
      <c r="I46" s="10" t="s">
        <v>57</v>
      </c>
      <c r="J46" s="12">
        <v>703239</v>
      </c>
      <c r="K46" s="10" t="s">
        <v>66</v>
      </c>
      <c r="L46" s="10" t="s">
        <v>28</v>
      </c>
      <c r="M46" s="10" t="s">
        <v>41</v>
      </c>
      <c r="N46" s="8">
        <f t="shared" ca="1" si="0"/>
        <v>6</v>
      </c>
      <c r="O46" s="11" t="s">
        <v>633</v>
      </c>
    </row>
    <row r="47" spans="1:15" x14ac:dyDescent="0.35">
      <c r="A47" s="8">
        <v>45</v>
      </c>
      <c r="B47" s="9" t="s">
        <v>127</v>
      </c>
      <c r="C47" s="10" t="s">
        <v>37</v>
      </c>
      <c r="D47" s="7" t="s">
        <v>140</v>
      </c>
      <c r="E47" s="10" t="s">
        <v>24</v>
      </c>
      <c r="F47" s="10" t="s">
        <v>53</v>
      </c>
      <c r="G47" s="10" t="s">
        <v>613</v>
      </c>
      <c r="H47" s="8">
        <v>2015</v>
      </c>
      <c r="I47" s="10" t="s">
        <v>82</v>
      </c>
      <c r="J47" s="12">
        <v>1788095</v>
      </c>
      <c r="K47" s="10" t="s">
        <v>66</v>
      </c>
      <c r="L47" s="10" t="s">
        <v>28</v>
      </c>
      <c r="M47" s="10" t="s">
        <v>29</v>
      </c>
      <c r="N47" s="8">
        <f t="shared" ca="1" si="0"/>
        <v>4</v>
      </c>
      <c r="O47" s="11" t="s">
        <v>630</v>
      </c>
    </row>
    <row r="48" spans="1:15" x14ac:dyDescent="0.35">
      <c r="A48" s="8">
        <v>46</v>
      </c>
      <c r="B48" s="9" t="s">
        <v>141</v>
      </c>
      <c r="C48" s="10" t="s">
        <v>37</v>
      </c>
      <c r="D48" s="7" t="s">
        <v>142</v>
      </c>
      <c r="E48" s="10" t="s">
        <v>75</v>
      </c>
      <c r="F48" s="10" t="s">
        <v>106</v>
      </c>
      <c r="G48" s="10" t="s">
        <v>614</v>
      </c>
      <c r="H48" s="8">
        <v>2017</v>
      </c>
      <c r="I48" s="10" t="s">
        <v>26</v>
      </c>
      <c r="J48" s="12">
        <v>1082019</v>
      </c>
      <c r="K48" s="10" t="s">
        <v>66</v>
      </c>
      <c r="L48" s="10" t="s">
        <v>19</v>
      </c>
      <c r="M48" s="10" t="s">
        <v>35</v>
      </c>
      <c r="N48" s="8">
        <f t="shared" ca="1" si="0"/>
        <v>8</v>
      </c>
      <c r="O48" s="11" t="s">
        <v>633</v>
      </c>
    </row>
    <row r="49" spans="1:15" x14ac:dyDescent="0.35">
      <c r="A49" s="8">
        <v>47</v>
      </c>
      <c r="B49" s="9" t="s">
        <v>143</v>
      </c>
      <c r="C49" s="10" t="s">
        <v>43</v>
      </c>
      <c r="D49" s="7" t="s">
        <v>144</v>
      </c>
      <c r="E49" s="10" t="s">
        <v>15</v>
      </c>
      <c r="F49" s="10" t="s">
        <v>60</v>
      </c>
      <c r="G49" s="10" t="s">
        <v>615</v>
      </c>
      <c r="H49" s="8">
        <v>2018</v>
      </c>
      <c r="I49" s="10" t="s">
        <v>57</v>
      </c>
      <c r="J49" s="12">
        <v>1064840</v>
      </c>
      <c r="K49" s="10" t="s">
        <v>27</v>
      </c>
      <c r="L49" s="10" t="s">
        <v>19</v>
      </c>
      <c r="M49" s="10" t="s">
        <v>35</v>
      </c>
      <c r="N49" s="8">
        <f t="shared" ca="1" si="0"/>
        <v>6</v>
      </c>
      <c r="O49" s="11" t="s">
        <v>633</v>
      </c>
    </row>
    <row r="50" spans="1:15" x14ac:dyDescent="0.35">
      <c r="A50" s="8">
        <v>48</v>
      </c>
      <c r="B50" s="9" t="s">
        <v>145</v>
      </c>
      <c r="C50" s="10" t="s">
        <v>80</v>
      </c>
      <c r="D50" s="7" t="s">
        <v>146</v>
      </c>
      <c r="E50" s="10" t="s">
        <v>48</v>
      </c>
      <c r="F50" s="10" t="s">
        <v>25</v>
      </c>
      <c r="G50" s="10" t="s">
        <v>616</v>
      </c>
      <c r="H50" s="8">
        <v>2022</v>
      </c>
      <c r="I50" s="10" t="s">
        <v>40</v>
      </c>
      <c r="J50" s="12">
        <v>556491</v>
      </c>
      <c r="K50" s="10" t="s">
        <v>66</v>
      </c>
      <c r="L50" s="10" t="s">
        <v>28</v>
      </c>
      <c r="M50" s="10" t="s">
        <v>41</v>
      </c>
      <c r="N50" s="8">
        <f t="shared" ca="1" si="0"/>
        <v>6</v>
      </c>
      <c r="O50" s="11" t="s">
        <v>631</v>
      </c>
    </row>
    <row r="51" spans="1:15" x14ac:dyDescent="0.35">
      <c r="A51" s="8">
        <v>49</v>
      </c>
      <c r="B51" s="9" t="s">
        <v>147</v>
      </c>
      <c r="C51" s="10" t="s">
        <v>80</v>
      </c>
      <c r="D51" s="7" t="s">
        <v>148</v>
      </c>
      <c r="E51" s="10" t="s">
        <v>24</v>
      </c>
      <c r="F51" s="10" t="s">
        <v>25</v>
      </c>
      <c r="G51" s="10" t="s">
        <v>611</v>
      </c>
      <c r="H51" s="8">
        <v>2015</v>
      </c>
      <c r="I51" s="10" t="s">
        <v>97</v>
      </c>
      <c r="J51" s="12">
        <v>677050</v>
      </c>
      <c r="K51" s="10" t="s">
        <v>66</v>
      </c>
      <c r="L51" s="10" t="s">
        <v>28</v>
      </c>
      <c r="M51" s="10" t="s">
        <v>49</v>
      </c>
      <c r="N51" s="8">
        <f t="shared" ca="1" si="0"/>
        <v>6</v>
      </c>
      <c r="O51" s="11" t="s">
        <v>632</v>
      </c>
    </row>
    <row r="52" spans="1:15" x14ac:dyDescent="0.35">
      <c r="A52" s="8">
        <v>50</v>
      </c>
      <c r="B52" s="9" t="s">
        <v>149</v>
      </c>
      <c r="C52" s="10" t="s">
        <v>13</v>
      </c>
      <c r="D52" s="7" t="s">
        <v>150</v>
      </c>
      <c r="E52" s="10" t="s">
        <v>33</v>
      </c>
      <c r="F52" s="10" t="s">
        <v>39</v>
      </c>
      <c r="G52" s="10" t="s">
        <v>612</v>
      </c>
      <c r="H52" s="8">
        <v>2018</v>
      </c>
      <c r="I52" s="10" t="s">
        <v>40</v>
      </c>
      <c r="J52" s="12">
        <v>818130</v>
      </c>
      <c r="K52" s="10" t="s">
        <v>27</v>
      </c>
      <c r="L52" s="10" t="s">
        <v>28</v>
      </c>
      <c r="M52" s="10" t="s">
        <v>29</v>
      </c>
      <c r="N52" s="8">
        <f t="shared" ca="1" si="0"/>
        <v>6</v>
      </c>
      <c r="O52" s="11" t="s">
        <v>631</v>
      </c>
    </row>
    <row r="53" spans="1:15" x14ac:dyDescent="0.35">
      <c r="A53" s="8">
        <v>51</v>
      </c>
      <c r="B53" s="9" t="s">
        <v>151</v>
      </c>
      <c r="C53" s="10" t="s">
        <v>31</v>
      </c>
      <c r="D53" s="7" t="s">
        <v>152</v>
      </c>
      <c r="E53" s="10" t="s">
        <v>75</v>
      </c>
      <c r="F53" s="10" t="s">
        <v>25</v>
      </c>
      <c r="G53" s="10" t="s">
        <v>613</v>
      </c>
      <c r="H53" s="8">
        <v>2021</v>
      </c>
      <c r="I53" s="10" t="s">
        <v>40</v>
      </c>
      <c r="J53" s="12">
        <v>949401</v>
      </c>
      <c r="K53" s="10" t="s">
        <v>18</v>
      </c>
      <c r="L53" s="10" t="s">
        <v>19</v>
      </c>
      <c r="M53" s="10" t="s">
        <v>20</v>
      </c>
      <c r="N53" s="8">
        <f t="shared" ca="1" si="0"/>
        <v>9</v>
      </c>
      <c r="O53" s="11" t="s">
        <v>632</v>
      </c>
    </row>
    <row r="54" spans="1:15" x14ac:dyDescent="0.35">
      <c r="A54" s="8">
        <v>52</v>
      </c>
      <c r="B54" s="9" t="s">
        <v>153</v>
      </c>
      <c r="C54" s="10" t="s">
        <v>62</v>
      </c>
      <c r="D54" s="7" t="s">
        <v>154</v>
      </c>
      <c r="E54" s="10" t="s">
        <v>48</v>
      </c>
      <c r="F54" s="10" t="s">
        <v>45</v>
      </c>
      <c r="G54" s="10" t="s">
        <v>614</v>
      </c>
      <c r="H54" s="8">
        <v>2023</v>
      </c>
      <c r="I54" s="10" t="s">
        <v>40</v>
      </c>
      <c r="J54" s="12">
        <v>1747266</v>
      </c>
      <c r="K54" s="10" t="s">
        <v>27</v>
      </c>
      <c r="L54" s="10" t="s">
        <v>28</v>
      </c>
      <c r="M54" s="10" t="s">
        <v>49</v>
      </c>
      <c r="N54" s="8">
        <f t="shared" ca="1" si="0"/>
        <v>9</v>
      </c>
      <c r="O54" s="11" t="s">
        <v>630</v>
      </c>
    </row>
    <row r="55" spans="1:15" x14ac:dyDescent="0.35">
      <c r="A55" s="8">
        <v>53</v>
      </c>
      <c r="B55" s="9" t="s">
        <v>155</v>
      </c>
      <c r="C55" s="10" t="s">
        <v>55</v>
      </c>
      <c r="D55" s="7" t="s">
        <v>156</v>
      </c>
      <c r="E55" s="10" t="s">
        <v>33</v>
      </c>
      <c r="F55" s="10" t="s">
        <v>34</v>
      </c>
      <c r="G55" s="10" t="s">
        <v>615</v>
      </c>
      <c r="H55" s="8">
        <v>2018</v>
      </c>
      <c r="I55" s="10" t="s">
        <v>17</v>
      </c>
      <c r="J55" s="12">
        <v>1072143</v>
      </c>
      <c r="K55" s="10" t="s">
        <v>66</v>
      </c>
      <c r="L55" s="10" t="s">
        <v>19</v>
      </c>
      <c r="M55" s="10" t="s">
        <v>35</v>
      </c>
      <c r="N55" s="8">
        <f t="shared" ca="1" si="0"/>
        <v>9</v>
      </c>
      <c r="O55" s="11" t="s">
        <v>631</v>
      </c>
    </row>
    <row r="56" spans="1:15" x14ac:dyDescent="0.35">
      <c r="A56" s="8">
        <v>54</v>
      </c>
      <c r="B56" s="9" t="s">
        <v>157</v>
      </c>
      <c r="C56" s="10" t="s">
        <v>77</v>
      </c>
      <c r="D56" s="7" t="s">
        <v>158</v>
      </c>
      <c r="E56" s="10" t="s">
        <v>24</v>
      </c>
      <c r="F56" s="10" t="s">
        <v>39</v>
      </c>
      <c r="G56" s="10" t="s">
        <v>616</v>
      </c>
      <c r="H56" s="8">
        <v>2024</v>
      </c>
      <c r="I56" s="10" t="s">
        <v>40</v>
      </c>
      <c r="J56" s="12">
        <v>1982443</v>
      </c>
      <c r="K56" s="10" t="s">
        <v>18</v>
      </c>
      <c r="L56" s="10" t="s">
        <v>19</v>
      </c>
      <c r="M56" s="10" t="s">
        <v>29</v>
      </c>
      <c r="N56" s="8">
        <f t="shared" ca="1" si="0"/>
        <v>10</v>
      </c>
      <c r="O56" s="11" t="s">
        <v>630</v>
      </c>
    </row>
    <row r="57" spans="1:15" x14ac:dyDescent="0.35">
      <c r="A57" s="8">
        <v>55</v>
      </c>
      <c r="B57" s="9" t="s">
        <v>159</v>
      </c>
      <c r="C57" s="10" t="s">
        <v>62</v>
      </c>
      <c r="D57" s="7" t="s">
        <v>160</v>
      </c>
      <c r="E57" s="10" t="s">
        <v>24</v>
      </c>
      <c r="F57" s="10" t="s">
        <v>87</v>
      </c>
      <c r="G57" s="10" t="s">
        <v>611</v>
      </c>
      <c r="H57" s="8">
        <v>2023</v>
      </c>
      <c r="I57" s="10" t="s">
        <v>26</v>
      </c>
      <c r="J57" s="12">
        <v>1427967</v>
      </c>
      <c r="K57" s="10" t="s">
        <v>27</v>
      </c>
      <c r="L57" s="10" t="s">
        <v>28</v>
      </c>
      <c r="M57" s="10" t="s">
        <v>20</v>
      </c>
      <c r="N57" s="8">
        <f t="shared" ca="1" si="0"/>
        <v>5</v>
      </c>
      <c r="O57" s="11" t="s">
        <v>631</v>
      </c>
    </row>
    <row r="58" spans="1:15" x14ac:dyDescent="0.35">
      <c r="A58" s="8">
        <v>56</v>
      </c>
      <c r="B58" s="9" t="s">
        <v>161</v>
      </c>
      <c r="C58" s="10" t="s">
        <v>62</v>
      </c>
      <c r="D58" s="7" t="s">
        <v>162</v>
      </c>
      <c r="E58" s="10" t="s">
        <v>75</v>
      </c>
      <c r="F58" s="10" t="s">
        <v>16</v>
      </c>
      <c r="G58" s="10" t="s">
        <v>612</v>
      </c>
      <c r="H58" s="8">
        <v>2024</v>
      </c>
      <c r="I58" s="10" t="s">
        <v>97</v>
      </c>
      <c r="J58" s="12">
        <v>1087133</v>
      </c>
      <c r="K58" s="10" t="s">
        <v>66</v>
      </c>
      <c r="L58" s="10" t="s">
        <v>19</v>
      </c>
      <c r="M58" s="10" t="s">
        <v>35</v>
      </c>
      <c r="N58" s="8">
        <f t="shared" ca="1" si="0"/>
        <v>7</v>
      </c>
      <c r="O58" s="11" t="s">
        <v>633</v>
      </c>
    </row>
    <row r="59" spans="1:15" x14ac:dyDescent="0.35">
      <c r="A59" s="8">
        <v>57</v>
      </c>
      <c r="B59" s="9" t="s">
        <v>163</v>
      </c>
      <c r="C59" s="10" t="s">
        <v>22</v>
      </c>
      <c r="D59" s="7" t="s">
        <v>164</v>
      </c>
      <c r="E59" s="10" t="s">
        <v>48</v>
      </c>
      <c r="F59" s="10" t="s">
        <v>16</v>
      </c>
      <c r="G59" s="10" t="s">
        <v>613</v>
      </c>
      <c r="H59" s="8">
        <v>2020</v>
      </c>
      <c r="I59" s="10" t="s">
        <v>57</v>
      </c>
      <c r="J59" s="12">
        <v>1113179</v>
      </c>
      <c r="K59" s="10" t="s">
        <v>27</v>
      </c>
      <c r="L59" s="10" t="s">
        <v>19</v>
      </c>
      <c r="M59" s="10" t="s">
        <v>29</v>
      </c>
      <c r="N59" s="8">
        <f t="shared" ca="1" si="0"/>
        <v>10</v>
      </c>
      <c r="O59" s="11" t="s">
        <v>631</v>
      </c>
    </row>
    <row r="60" spans="1:15" x14ac:dyDescent="0.35">
      <c r="A60" s="8">
        <v>58</v>
      </c>
      <c r="B60" s="9" t="s">
        <v>165</v>
      </c>
      <c r="C60" s="10" t="s">
        <v>51</v>
      </c>
      <c r="D60" s="7" t="s">
        <v>166</v>
      </c>
      <c r="E60" s="10" t="s">
        <v>33</v>
      </c>
      <c r="F60" s="10" t="s">
        <v>16</v>
      </c>
      <c r="G60" s="10" t="s">
        <v>614</v>
      </c>
      <c r="H60" s="8">
        <v>2021</v>
      </c>
      <c r="I60" s="10" t="s">
        <v>97</v>
      </c>
      <c r="J60" s="12">
        <v>1589568</v>
      </c>
      <c r="K60" s="10" t="s">
        <v>27</v>
      </c>
      <c r="L60" s="10" t="s">
        <v>28</v>
      </c>
      <c r="M60" s="10" t="s">
        <v>35</v>
      </c>
      <c r="N60" s="8">
        <f t="shared" ca="1" si="0"/>
        <v>4</v>
      </c>
      <c r="O60" s="11" t="s">
        <v>634</v>
      </c>
    </row>
    <row r="61" spans="1:15" x14ac:dyDescent="0.35">
      <c r="A61" s="8">
        <v>59</v>
      </c>
      <c r="B61" s="9" t="s">
        <v>167</v>
      </c>
      <c r="C61" s="10" t="s">
        <v>62</v>
      </c>
      <c r="D61" s="7" t="s">
        <v>168</v>
      </c>
      <c r="E61" s="10" t="s">
        <v>75</v>
      </c>
      <c r="F61" s="10" t="s">
        <v>87</v>
      </c>
      <c r="G61" s="10" t="s">
        <v>615</v>
      </c>
      <c r="H61" s="8">
        <v>2020</v>
      </c>
      <c r="I61" s="10" t="s">
        <v>26</v>
      </c>
      <c r="J61" s="12">
        <v>805887</v>
      </c>
      <c r="K61" s="10" t="s">
        <v>66</v>
      </c>
      <c r="L61" s="10" t="s">
        <v>28</v>
      </c>
      <c r="M61" s="10" t="s">
        <v>49</v>
      </c>
      <c r="N61" s="8">
        <f t="shared" ca="1" si="0"/>
        <v>6</v>
      </c>
      <c r="O61" s="11" t="s">
        <v>632</v>
      </c>
    </row>
    <row r="62" spans="1:15" x14ac:dyDescent="0.35">
      <c r="A62" s="8">
        <v>60</v>
      </c>
      <c r="B62" s="9" t="s">
        <v>169</v>
      </c>
      <c r="C62" s="10" t="s">
        <v>62</v>
      </c>
      <c r="D62" s="7" t="s">
        <v>170</v>
      </c>
      <c r="E62" s="10" t="s">
        <v>33</v>
      </c>
      <c r="F62" s="10" t="s">
        <v>60</v>
      </c>
      <c r="G62" s="10" t="s">
        <v>616</v>
      </c>
      <c r="H62" s="8">
        <v>2022</v>
      </c>
      <c r="I62" s="10" t="s">
        <v>97</v>
      </c>
      <c r="J62" s="12">
        <v>1320859</v>
      </c>
      <c r="K62" s="10" t="s">
        <v>18</v>
      </c>
      <c r="L62" s="10" t="s">
        <v>28</v>
      </c>
      <c r="M62" s="10" t="s">
        <v>49</v>
      </c>
      <c r="N62" s="8">
        <f t="shared" ca="1" si="0"/>
        <v>4</v>
      </c>
      <c r="O62" s="11" t="s">
        <v>634</v>
      </c>
    </row>
    <row r="63" spans="1:15" x14ac:dyDescent="0.35">
      <c r="A63" s="8">
        <v>61</v>
      </c>
      <c r="B63" s="9" t="s">
        <v>171</v>
      </c>
      <c r="C63" s="10" t="s">
        <v>13</v>
      </c>
      <c r="D63" s="7" t="s">
        <v>172</v>
      </c>
      <c r="E63" s="10" t="s">
        <v>48</v>
      </c>
      <c r="F63" s="10" t="s">
        <v>90</v>
      </c>
      <c r="G63" s="10" t="s">
        <v>611</v>
      </c>
      <c r="H63" s="8">
        <v>2023</v>
      </c>
      <c r="I63" s="10" t="s">
        <v>57</v>
      </c>
      <c r="J63" s="12">
        <v>984460</v>
      </c>
      <c r="K63" s="10" t="s">
        <v>18</v>
      </c>
      <c r="L63" s="10" t="s">
        <v>28</v>
      </c>
      <c r="M63" s="10" t="s">
        <v>49</v>
      </c>
      <c r="N63" s="8">
        <f t="shared" ca="1" si="0"/>
        <v>6</v>
      </c>
      <c r="O63" s="11" t="s">
        <v>632</v>
      </c>
    </row>
    <row r="64" spans="1:15" x14ac:dyDescent="0.35">
      <c r="A64" s="8">
        <v>62</v>
      </c>
      <c r="B64" s="9" t="s">
        <v>173</v>
      </c>
      <c r="C64" s="10" t="s">
        <v>80</v>
      </c>
      <c r="D64" s="7" t="s">
        <v>174</v>
      </c>
      <c r="E64" s="10" t="s">
        <v>33</v>
      </c>
      <c r="F64" s="10" t="s">
        <v>34</v>
      </c>
      <c r="G64" s="10" t="s">
        <v>612</v>
      </c>
      <c r="H64" s="8">
        <v>2023</v>
      </c>
      <c r="I64" s="10" t="s">
        <v>82</v>
      </c>
      <c r="J64" s="12">
        <v>1968081</v>
      </c>
      <c r="K64" s="10" t="s">
        <v>18</v>
      </c>
      <c r="L64" s="10" t="s">
        <v>28</v>
      </c>
      <c r="M64" s="10" t="s">
        <v>29</v>
      </c>
      <c r="N64" s="8">
        <f t="shared" ca="1" si="0"/>
        <v>6</v>
      </c>
      <c r="O64" s="11" t="s">
        <v>630</v>
      </c>
    </row>
    <row r="65" spans="1:15" x14ac:dyDescent="0.35">
      <c r="A65" s="8">
        <v>63</v>
      </c>
      <c r="B65" s="9" t="s">
        <v>161</v>
      </c>
      <c r="C65" s="10" t="s">
        <v>13</v>
      </c>
      <c r="D65" s="7" t="s">
        <v>175</v>
      </c>
      <c r="E65" s="10" t="s">
        <v>15</v>
      </c>
      <c r="F65" s="10" t="s">
        <v>87</v>
      </c>
      <c r="G65" s="10" t="s">
        <v>613</v>
      </c>
      <c r="H65" s="8">
        <v>2024</v>
      </c>
      <c r="I65" s="10" t="s">
        <v>26</v>
      </c>
      <c r="J65" s="12">
        <v>1279574</v>
      </c>
      <c r="K65" s="10" t="s">
        <v>66</v>
      </c>
      <c r="L65" s="10" t="s">
        <v>19</v>
      </c>
      <c r="M65" s="10" t="s">
        <v>20</v>
      </c>
      <c r="N65" s="8">
        <f t="shared" ca="1" si="0"/>
        <v>10</v>
      </c>
      <c r="O65" s="11" t="s">
        <v>632</v>
      </c>
    </row>
    <row r="66" spans="1:15" x14ac:dyDescent="0.35">
      <c r="A66" s="8">
        <v>64</v>
      </c>
      <c r="B66" s="9" t="s">
        <v>176</v>
      </c>
      <c r="C66" s="10" t="s">
        <v>22</v>
      </c>
      <c r="D66" s="7" t="s">
        <v>177</v>
      </c>
      <c r="E66" s="10" t="s">
        <v>33</v>
      </c>
      <c r="F66" s="10" t="s">
        <v>16</v>
      </c>
      <c r="G66" s="10" t="s">
        <v>614</v>
      </c>
      <c r="H66" s="8">
        <v>2022</v>
      </c>
      <c r="I66" s="10" t="s">
        <v>26</v>
      </c>
      <c r="J66" s="12">
        <v>1854884</v>
      </c>
      <c r="K66" s="10" t="s">
        <v>27</v>
      </c>
      <c r="L66" s="10" t="s">
        <v>19</v>
      </c>
      <c r="M66" s="10" t="s">
        <v>49</v>
      </c>
      <c r="N66" s="8">
        <f t="shared" ca="1" si="0"/>
        <v>8</v>
      </c>
      <c r="O66" s="11" t="s">
        <v>632</v>
      </c>
    </row>
    <row r="67" spans="1:15" x14ac:dyDescent="0.35">
      <c r="A67" s="8">
        <v>65</v>
      </c>
      <c r="B67" s="9" t="s">
        <v>178</v>
      </c>
      <c r="C67" s="10" t="s">
        <v>80</v>
      </c>
      <c r="D67" s="7" t="s">
        <v>179</v>
      </c>
      <c r="E67" s="10" t="s">
        <v>15</v>
      </c>
      <c r="F67" s="10" t="s">
        <v>39</v>
      </c>
      <c r="G67" s="10" t="s">
        <v>615</v>
      </c>
      <c r="H67" s="8">
        <v>2024</v>
      </c>
      <c r="I67" s="10" t="s">
        <v>97</v>
      </c>
      <c r="J67" s="12">
        <v>1965862</v>
      </c>
      <c r="K67" s="10" t="s">
        <v>18</v>
      </c>
      <c r="L67" s="10" t="s">
        <v>28</v>
      </c>
      <c r="M67" s="10" t="s">
        <v>41</v>
      </c>
      <c r="N67" s="8">
        <f t="shared" ref="N67:N130" ca="1" si="1">RANDBETWEEN(4,10)</f>
        <v>7</v>
      </c>
      <c r="O67" s="11" t="s">
        <v>634</v>
      </c>
    </row>
    <row r="68" spans="1:15" x14ac:dyDescent="0.35">
      <c r="A68" s="8">
        <v>66</v>
      </c>
      <c r="B68" s="9" t="s">
        <v>180</v>
      </c>
      <c r="C68" s="10" t="s">
        <v>31</v>
      </c>
      <c r="D68" s="7" t="s">
        <v>181</v>
      </c>
      <c r="E68" s="10" t="s">
        <v>24</v>
      </c>
      <c r="F68" s="10" t="s">
        <v>53</v>
      </c>
      <c r="G68" s="10" t="s">
        <v>616</v>
      </c>
      <c r="H68" s="8">
        <v>2017</v>
      </c>
      <c r="I68" s="10" t="s">
        <v>17</v>
      </c>
      <c r="J68" s="12">
        <v>1594230</v>
      </c>
      <c r="K68" s="10" t="s">
        <v>27</v>
      </c>
      <c r="L68" s="10" t="s">
        <v>19</v>
      </c>
      <c r="M68" s="10" t="s">
        <v>35</v>
      </c>
      <c r="N68" s="8">
        <f t="shared" ca="1" si="1"/>
        <v>10</v>
      </c>
      <c r="O68" s="11" t="s">
        <v>631</v>
      </c>
    </row>
    <row r="69" spans="1:15" x14ac:dyDescent="0.35">
      <c r="A69" s="8">
        <v>67</v>
      </c>
      <c r="B69" s="9" t="s">
        <v>182</v>
      </c>
      <c r="C69" s="10" t="s">
        <v>55</v>
      </c>
      <c r="D69" s="7" t="s">
        <v>183</v>
      </c>
      <c r="E69" s="10" t="s">
        <v>48</v>
      </c>
      <c r="F69" s="10" t="s">
        <v>39</v>
      </c>
      <c r="G69" s="10" t="s">
        <v>611</v>
      </c>
      <c r="H69" s="8">
        <v>2023</v>
      </c>
      <c r="I69" s="10" t="s">
        <v>97</v>
      </c>
      <c r="J69" s="12">
        <v>1645611</v>
      </c>
      <c r="K69" s="10" t="s">
        <v>18</v>
      </c>
      <c r="L69" s="10" t="s">
        <v>28</v>
      </c>
      <c r="M69" s="10" t="s">
        <v>20</v>
      </c>
      <c r="N69" s="8">
        <f t="shared" ca="1" si="1"/>
        <v>5</v>
      </c>
      <c r="O69" s="11" t="s">
        <v>633</v>
      </c>
    </row>
    <row r="70" spans="1:15" x14ac:dyDescent="0.35">
      <c r="A70" s="8">
        <v>68</v>
      </c>
      <c r="B70" s="9" t="s">
        <v>184</v>
      </c>
      <c r="C70" s="10" t="s">
        <v>80</v>
      </c>
      <c r="D70" s="7" t="s">
        <v>185</v>
      </c>
      <c r="E70" s="10" t="s">
        <v>48</v>
      </c>
      <c r="F70" s="10" t="s">
        <v>45</v>
      </c>
      <c r="G70" s="10" t="s">
        <v>612</v>
      </c>
      <c r="H70" s="8">
        <v>2017</v>
      </c>
      <c r="I70" s="10" t="s">
        <v>82</v>
      </c>
      <c r="J70" s="12">
        <v>1035786</v>
      </c>
      <c r="K70" s="10" t="s">
        <v>18</v>
      </c>
      <c r="L70" s="10" t="s">
        <v>19</v>
      </c>
      <c r="M70" s="10" t="s">
        <v>35</v>
      </c>
      <c r="N70" s="8">
        <f t="shared" ca="1" si="1"/>
        <v>10</v>
      </c>
      <c r="O70" s="11" t="s">
        <v>632</v>
      </c>
    </row>
    <row r="71" spans="1:15" x14ac:dyDescent="0.35">
      <c r="A71" s="8">
        <v>69</v>
      </c>
      <c r="B71" s="9" t="s">
        <v>186</v>
      </c>
      <c r="C71" s="10" t="s">
        <v>77</v>
      </c>
      <c r="D71" s="7" t="s">
        <v>187</v>
      </c>
      <c r="E71" s="10" t="s">
        <v>48</v>
      </c>
      <c r="F71" s="10" t="s">
        <v>53</v>
      </c>
      <c r="G71" s="10" t="s">
        <v>613</v>
      </c>
      <c r="H71" s="8">
        <v>2018</v>
      </c>
      <c r="I71" s="10" t="s">
        <v>17</v>
      </c>
      <c r="J71" s="12">
        <v>1225836</v>
      </c>
      <c r="K71" s="10" t="s">
        <v>66</v>
      </c>
      <c r="L71" s="10" t="s">
        <v>28</v>
      </c>
      <c r="M71" s="10" t="s">
        <v>29</v>
      </c>
      <c r="N71" s="8">
        <f t="shared" ca="1" si="1"/>
        <v>5</v>
      </c>
      <c r="O71" s="11" t="s">
        <v>633</v>
      </c>
    </row>
    <row r="72" spans="1:15" x14ac:dyDescent="0.35">
      <c r="A72" s="8">
        <v>70</v>
      </c>
      <c r="B72" s="9" t="s">
        <v>188</v>
      </c>
      <c r="C72" s="10" t="s">
        <v>37</v>
      </c>
      <c r="D72" s="7" t="s">
        <v>189</v>
      </c>
      <c r="E72" s="10" t="s">
        <v>24</v>
      </c>
      <c r="F72" s="10" t="s">
        <v>87</v>
      </c>
      <c r="G72" s="10" t="s">
        <v>614</v>
      </c>
      <c r="H72" s="8">
        <v>2023</v>
      </c>
      <c r="I72" s="10" t="s">
        <v>40</v>
      </c>
      <c r="J72" s="12">
        <v>1342968</v>
      </c>
      <c r="K72" s="10" t="s">
        <v>18</v>
      </c>
      <c r="L72" s="10" t="s">
        <v>19</v>
      </c>
      <c r="M72" s="10" t="s">
        <v>49</v>
      </c>
      <c r="N72" s="8">
        <f t="shared" ca="1" si="1"/>
        <v>7</v>
      </c>
      <c r="O72" s="11" t="s">
        <v>631</v>
      </c>
    </row>
    <row r="73" spans="1:15" x14ac:dyDescent="0.35">
      <c r="A73" s="8">
        <v>71</v>
      </c>
      <c r="B73" s="9" t="s">
        <v>190</v>
      </c>
      <c r="C73" s="10" t="s">
        <v>43</v>
      </c>
      <c r="D73" s="7" t="s">
        <v>191</v>
      </c>
      <c r="E73" s="10" t="s">
        <v>75</v>
      </c>
      <c r="F73" s="10" t="s">
        <v>25</v>
      </c>
      <c r="G73" s="10" t="s">
        <v>615</v>
      </c>
      <c r="H73" s="8">
        <v>2021</v>
      </c>
      <c r="I73" s="10" t="s">
        <v>57</v>
      </c>
      <c r="J73" s="12">
        <v>1678336</v>
      </c>
      <c r="K73" s="10" t="s">
        <v>18</v>
      </c>
      <c r="L73" s="10" t="s">
        <v>19</v>
      </c>
      <c r="M73" s="10" t="s">
        <v>35</v>
      </c>
      <c r="N73" s="8">
        <f t="shared" ca="1" si="1"/>
        <v>4</v>
      </c>
      <c r="O73" s="11" t="s">
        <v>634</v>
      </c>
    </row>
    <row r="74" spans="1:15" x14ac:dyDescent="0.35">
      <c r="A74" s="8">
        <v>72</v>
      </c>
      <c r="B74" s="9" t="s">
        <v>192</v>
      </c>
      <c r="C74" s="10" t="s">
        <v>31</v>
      </c>
      <c r="D74" s="7" t="s">
        <v>193</v>
      </c>
      <c r="E74" s="10" t="s">
        <v>75</v>
      </c>
      <c r="F74" s="10" t="s">
        <v>45</v>
      </c>
      <c r="G74" s="10" t="s">
        <v>616</v>
      </c>
      <c r="H74" s="8">
        <v>2022</v>
      </c>
      <c r="I74" s="10" t="s">
        <v>82</v>
      </c>
      <c r="J74" s="12">
        <v>869905</v>
      </c>
      <c r="K74" s="10" t="s">
        <v>18</v>
      </c>
      <c r="L74" s="10" t="s">
        <v>28</v>
      </c>
      <c r="M74" s="10" t="s">
        <v>29</v>
      </c>
      <c r="N74" s="8">
        <f t="shared" ca="1" si="1"/>
        <v>8</v>
      </c>
      <c r="O74" s="11" t="s">
        <v>630</v>
      </c>
    </row>
    <row r="75" spans="1:15" x14ac:dyDescent="0.35">
      <c r="A75" s="8">
        <v>73</v>
      </c>
      <c r="B75" s="9" t="s">
        <v>194</v>
      </c>
      <c r="C75" s="10" t="s">
        <v>62</v>
      </c>
      <c r="D75" s="7" t="s">
        <v>195</v>
      </c>
      <c r="E75" s="10" t="s">
        <v>33</v>
      </c>
      <c r="F75" s="10" t="s">
        <v>39</v>
      </c>
      <c r="G75" s="10" t="s">
        <v>611</v>
      </c>
      <c r="H75" s="8">
        <v>2017</v>
      </c>
      <c r="I75" s="10" t="s">
        <v>40</v>
      </c>
      <c r="J75" s="12">
        <v>1799692</v>
      </c>
      <c r="K75" s="10" t="s">
        <v>27</v>
      </c>
      <c r="L75" s="10" t="s">
        <v>19</v>
      </c>
      <c r="M75" s="10" t="s">
        <v>35</v>
      </c>
      <c r="N75" s="8">
        <f t="shared" ca="1" si="1"/>
        <v>4</v>
      </c>
      <c r="O75" s="11" t="s">
        <v>633</v>
      </c>
    </row>
    <row r="76" spans="1:15" x14ac:dyDescent="0.35">
      <c r="A76" s="8">
        <v>74</v>
      </c>
      <c r="B76" s="9" t="s">
        <v>196</v>
      </c>
      <c r="C76" s="10" t="s">
        <v>51</v>
      </c>
      <c r="D76" s="7" t="s">
        <v>197</v>
      </c>
      <c r="E76" s="10" t="s">
        <v>75</v>
      </c>
      <c r="F76" s="10" t="s">
        <v>45</v>
      </c>
      <c r="G76" s="10" t="s">
        <v>612</v>
      </c>
      <c r="H76" s="8">
        <v>2019</v>
      </c>
      <c r="I76" s="10" t="s">
        <v>97</v>
      </c>
      <c r="J76" s="12">
        <v>1965896</v>
      </c>
      <c r="K76" s="10" t="s">
        <v>66</v>
      </c>
      <c r="L76" s="10" t="s">
        <v>19</v>
      </c>
      <c r="M76" s="10" t="s">
        <v>41</v>
      </c>
      <c r="N76" s="8">
        <f t="shared" ca="1" si="1"/>
        <v>8</v>
      </c>
      <c r="O76" s="11" t="s">
        <v>632</v>
      </c>
    </row>
    <row r="77" spans="1:15" x14ac:dyDescent="0.35">
      <c r="A77" s="8">
        <v>75</v>
      </c>
      <c r="B77" s="9" t="s">
        <v>198</v>
      </c>
      <c r="C77" s="10" t="s">
        <v>77</v>
      </c>
      <c r="D77" s="7" t="s">
        <v>199</v>
      </c>
      <c r="E77" s="10" t="s">
        <v>75</v>
      </c>
      <c r="F77" s="10" t="s">
        <v>25</v>
      </c>
      <c r="G77" s="10" t="s">
        <v>613</v>
      </c>
      <c r="H77" s="8">
        <v>2024</v>
      </c>
      <c r="I77" s="10" t="s">
        <v>82</v>
      </c>
      <c r="J77" s="12">
        <v>963342</v>
      </c>
      <c r="K77" s="10" t="s">
        <v>27</v>
      </c>
      <c r="L77" s="10" t="s">
        <v>19</v>
      </c>
      <c r="M77" s="10" t="s">
        <v>29</v>
      </c>
      <c r="N77" s="8">
        <f t="shared" ca="1" si="1"/>
        <v>10</v>
      </c>
      <c r="O77" s="11" t="s">
        <v>632</v>
      </c>
    </row>
    <row r="78" spans="1:15" x14ac:dyDescent="0.35">
      <c r="A78" s="8">
        <v>76</v>
      </c>
      <c r="B78" s="9" t="s">
        <v>200</v>
      </c>
      <c r="C78" s="10" t="s">
        <v>51</v>
      </c>
      <c r="D78" s="7" t="s">
        <v>201</v>
      </c>
      <c r="E78" s="10" t="s">
        <v>33</v>
      </c>
      <c r="F78" s="10" t="s">
        <v>16</v>
      </c>
      <c r="G78" s="10" t="s">
        <v>614</v>
      </c>
      <c r="H78" s="8">
        <v>2017</v>
      </c>
      <c r="I78" s="10" t="s">
        <v>57</v>
      </c>
      <c r="J78" s="12">
        <v>356255</v>
      </c>
      <c r="K78" s="10" t="s">
        <v>27</v>
      </c>
      <c r="L78" s="10" t="s">
        <v>19</v>
      </c>
      <c r="M78" s="10" t="s">
        <v>20</v>
      </c>
      <c r="N78" s="8">
        <f t="shared" ca="1" si="1"/>
        <v>8</v>
      </c>
      <c r="O78" s="11" t="s">
        <v>631</v>
      </c>
    </row>
    <row r="79" spans="1:15" x14ac:dyDescent="0.35">
      <c r="A79" s="8">
        <v>77</v>
      </c>
      <c r="B79" s="9" t="s">
        <v>202</v>
      </c>
      <c r="C79" s="10" t="s">
        <v>13</v>
      </c>
      <c r="D79" s="7" t="s">
        <v>203</v>
      </c>
      <c r="E79" s="10" t="s">
        <v>75</v>
      </c>
      <c r="F79" s="10" t="s">
        <v>53</v>
      </c>
      <c r="G79" s="10" t="s">
        <v>615</v>
      </c>
      <c r="H79" s="8">
        <v>2021</v>
      </c>
      <c r="I79" s="10" t="s">
        <v>57</v>
      </c>
      <c r="J79" s="12">
        <v>379505</v>
      </c>
      <c r="K79" s="10" t="s">
        <v>66</v>
      </c>
      <c r="L79" s="10" t="s">
        <v>28</v>
      </c>
      <c r="M79" s="10" t="s">
        <v>35</v>
      </c>
      <c r="N79" s="8">
        <f t="shared" ca="1" si="1"/>
        <v>7</v>
      </c>
      <c r="O79" s="11" t="s">
        <v>632</v>
      </c>
    </row>
    <row r="80" spans="1:15" x14ac:dyDescent="0.35">
      <c r="A80" s="8">
        <v>78</v>
      </c>
      <c r="B80" s="9" t="s">
        <v>204</v>
      </c>
      <c r="C80" s="10" t="s">
        <v>22</v>
      </c>
      <c r="D80" s="7" t="s">
        <v>205</v>
      </c>
      <c r="E80" s="10" t="s">
        <v>48</v>
      </c>
      <c r="F80" s="10" t="s">
        <v>87</v>
      </c>
      <c r="G80" s="10" t="s">
        <v>616</v>
      </c>
      <c r="H80" s="8">
        <v>2016</v>
      </c>
      <c r="I80" s="10" t="s">
        <v>26</v>
      </c>
      <c r="J80" s="12">
        <v>1114508</v>
      </c>
      <c r="K80" s="10" t="s">
        <v>27</v>
      </c>
      <c r="L80" s="10" t="s">
        <v>19</v>
      </c>
      <c r="M80" s="10" t="s">
        <v>49</v>
      </c>
      <c r="N80" s="8">
        <f t="shared" ca="1" si="1"/>
        <v>9</v>
      </c>
      <c r="O80" s="11" t="s">
        <v>634</v>
      </c>
    </row>
    <row r="81" spans="1:15" x14ac:dyDescent="0.35">
      <c r="A81" s="8">
        <v>79</v>
      </c>
      <c r="B81" s="9" t="s">
        <v>206</v>
      </c>
      <c r="C81" s="10" t="s">
        <v>80</v>
      </c>
      <c r="D81" s="7" t="s">
        <v>207</v>
      </c>
      <c r="E81" s="10" t="s">
        <v>33</v>
      </c>
      <c r="F81" s="10" t="s">
        <v>25</v>
      </c>
      <c r="G81" s="10" t="s">
        <v>611</v>
      </c>
      <c r="H81" s="8">
        <v>2020</v>
      </c>
      <c r="I81" s="10" t="s">
        <v>82</v>
      </c>
      <c r="J81" s="12">
        <v>656811</v>
      </c>
      <c r="K81" s="10" t="s">
        <v>18</v>
      </c>
      <c r="L81" s="10" t="s">
        <v>28</v>
      </c>
      <c r="M81" s="10" t="s">
        <v>41</v>
      </c>
      <c r="N81" s="8">
        <f t="shared" ca="1" si="1"/>
        <v>4</v>
      </c>
      <c r="O81" s="11" t="s">
        <v>633</v>
      </c>
    </row>
    <row r="82" spans="1:15" x14ac:dyDescent="0.35">
      <c r="A82" s="8">
        <v>80</v>
      </c>
      <c r="B82" s="9" t="s">
        <v>208</v>
      </c>
      <c r="C82" s="10" t="s">
        <v>13</v>
      </c>
      <c r="D82" s="7" t="s">
        <v>209</v>
      </c>
      <c r="E82" s="10" t="s">
        <v>33</v>
      </c>
      <c r="F82" s="10" t="s">
        <v>60</v>
      </c>
      <c r="G82" s="10" t="s">
        <v>612</v>
      </c>
      <c r="H82" s="8">
        <v>2015</v>
      </c>
      <c r="I82" s="10" t="s">
        <v>82</v>
      </c>
      <c r="J82" s="12">
        <v>370202</v>
      </c>
      <c r="K82" s="10" t="s">
        <v>27</v>
      </c>
      <c r="L82" s="10" t="s">
        <v>19</v>
      </c>
      <c r="M82" s="10" t="s">
        <v>29</v>
      </c>
      <c r="N82" s="8">
        <f t="shared" ca="1" si="1"/>
        <v>8</v>
      </c>
      <c r="O82" s="11" t="s">
        <v>633</v>
      </c>
    </row>
    <row r="83" spans="1:15" x14ac:dyDescent="0.35">
      <c r="A83" s="8">
        <v>81</v>
      </c>
      <c r="B83" s="9" t="s">
        <v>210</v>
      </c>
      <c r="C83" s="10" t="s">
        <v>62</v>
      </c>
      <c r="D83" s="7" t="s">
        <v>211</v>
      </c>
      <c r="E83" s="10" t="s">
        <v>24</v>
      </c>
      <c r="F83" s="10" t="s">
        <v>16</v>
      </c>
      <c r="G83" s="10" t="s">
        <v>613</v>
      </c>
      <c r="H83" s="8">
        <v>2015</v>
      </c>
      <c r="I83" s="10" t="s">
        <v>57</v>
      </c>
      <c r="J83" s="12">
        <v>610817</v>
      </c>
      <c r="K83" s="10" t="s">
        <v>27</v>
      </c>
      <c r="L83" s="10" t="s">
        <v>28</v>
      </c>
      <c r="M83" s="10" t="s">
        <v>35</v>
      </c>
      <c r="N83" s="8">
        <f t="shared" ca="1" si="1"/>
        <v>9</v>
      </c>
      <c r="O83" s="11" t="s">
        <v>633</v>
      </c>
    </row>
    <row r="84" spans="1:15" x14ac:dyDescent="0.35">
      <c r="A84" s="8">
        <v>82</v>
      </c>
      <c r="B84" s="9" t="s">
        <v>212</v>
      </c>
      <c r="C84" s="10" t="s">
        <v>31</v>
      </c>
      <c r="D84" s="7" t="s">
        <v>213</v>
      </c>
      <c r="E84" s="10" t="s">
        <v>24</v>
      </c>
      <c r="F84" s="10" t="s">
        <v>90</v>
      </c>
      <c r="G84" s="10" t="s">
        <v>614</v>
      </c>
      <c r="H84" s="8">
        <v>2020</v>
      </c>
      <c r="I84" s="10" t="s">
        <v>26</v>
      </c>
      <c r="J84" s="12">
        <v>1831166</v>
      </c>
      <c r="K84" s="10" t="s">
        <v>27</v>
      </c>
      <c r="L84" s="10" t="s">
        <v>19</v>
      </c>
      <c r="M84" s="10" t="s">
        <v>20</v>
      </c>
      <c r="N84" s="8">
        <f t="shared" ca="1" si="1"/>
        <v>4</v>
      </c>
      <c r="O84" s="11" t="s">
        <v>631</v>
      </c>
    </row>
    <row r="85" spans="1:15" x14ac:dyDescent="0.35">
      <c r="A85" s="8">
        <v>83</v>
      </c>
      <c r="B85" s="9" t="s">
        <v>214</v>
      </c>
      <c r="C85" s="10" t="s">
        <v>22</v>
      </c>
      <c r="D85" s="7" t="s">
        <v>215</v>
      </c>
      <c r="E85" s="10" t="s">
        <v>33</v>
      </c>
      <c r="F85" s="10" t="s">
        <v>16</v>
      </c>
      <c r="G85" s="10" t="s">
        <v>615</v>
      </c>
      <c r="H85" s="8">
        <v>2018</v>
      </c>
      <c r="I85" s="10" t="s">
        <v>97</v>
      </c>
      <c r="J85" s="12">
        <v>867458</v>
      </c>
      <c r="K85" s="10" t="s">
        <v>66</v>
      </c>
      <c r="L85" s="10" t="s">
        <v>28</v>
      </c>
      <c r="M85" s="10" t="s">
        <v>29</v>
      </c>
      <c r="N85" s="8">
        <f t="shared" ca="1" si="1"/>
        <v>4</v>
      </c>
      <c r="O85" s="11" t="s">
        <v>633</v>
      </c>
    </row>
    <row r="86" spans="1:15" x14ac:dyDescent="0.35">
      <c r="A86" s="8">
        <v>84</v>
      </c>
      <c r="B86" s="9" t="s">
        <v>216</v>
      </c>
      <c r="C86" s="10" t="s">
        <v>22</v>
      </c>
      <c r="D86" s="7" t="s">
        <v>217</v>
      </c>
      <c r="E86" s="10" t="s">
        <v>75</v>
      </c>
      <c r="F86" s="10" t="s">
        <v>45</v>
      </c>
      <c r="G86" s="10" t="s">
        <v>616</v>
      </c>
      <c r="H86" s="8">
        <v>2017</v>
      </c>
      <c r="I86" s="10" t="s">
        <v>26</v>
      </c>
      <c r="J86" s="12">
        <v>1929419</v>
      </c>
      <c r="K86" s="10" t="s">
        <v>27</v>
      </c>
      <c r="L86" s="10" t="s">
        <v>28</v>
      </c>
      <c r="M86" s="10" t="s">
        <v>41</v>
      </c>
      <c r="N86" s="8">
        <f t="shared" ca="1" si="1"/>
        <v>4</v>
      </c>
      <c r="O86" s="11" t="s">
        <v>631</v>
      </c>
    </row>
    <row r="87" spans="1:15" x14ac:dyDescent="0.35">
      <c r="A87" s="8">
        <v>85</v>
      </c>
      <c r="B87" s="9" t="s">
        <v>218</v>
      </c>
      <c r="C87" s="10" t="s">
        <v>77</v>
      </c>
      <c r="D87" s="7" t="s">
        <v>219</v>
      </c>
      <c r="E87" s="10" t="s">
        <v>33</v>
      </c>
      <c r="F87" s="10" t="s">
        <v>90</v>
      </c>
      <c r="G87" s="10" t="s">
        <v>611</v>
      </c>
      <c r="H87" s="8">
        <v>2015</v>
      </c>
      <c r="I87" s="10" t="s">
        <v>57</v>
      </c>
      <c r="J87" s="12">
        <v>777174</v>
      </c>
      <c r="K87" s="10" t="s">
        <v>27</v>
      </c>
      <c r="L87" s="10" t="s">
        <v>19</v>
      </c>
      <c r="M87" s="10" t="s">
        <v>49</v>
      </c>
      <c r="N87" s="8">
        <f t="shared" ca="1" si="1"/>
        <v>6</v>
      </c>
      <c r="O87" s="11" t="s">
        <v>633</v>
      </c>
    </row>
    <row r="88" spans="1:15" x14ac:dyDescent="0.35">
      <c r="A88" s="8">
        <v>86</v>
      </c>
      <c r="B88" s="9" t="s">
        <v>220</v>
      </c>
      <c r="C88" s="10" t="s">
        <v>77</v>
      </c>
      <c r="D88" s="7" t="s">
        <v>221</v>
      </c>
      <c r="E88" s="10" t="s">
        <v>33</v>
      </c>
      <c r="F88" s="10" t="s">
        <v>25</v>
      </c>
      <c r="G88" s="10" t="s">
        <v>612</v>
      </c>
      <c r="H88" s="8">
        <v>2023</v>
      </c>
      <c r="I88" s="10" t="s">
        <v>40</v>
      </c>
      <c r="J88" s="12">
        <v>738313</v>
      </c>
      <c r="K88" s="10" t="s">
        <v>66</v>
      </c>
      <c r="L88" s="10" t="s">
        <v>28</v>
      </c>
      <c r="M88" s="10" t="s">
        <v>20</v>
      </c>
      <c r="N88" s="8">
        <f t="shared" ca="1" si="1"/>
        <v>7</v>
      </c>
      <c r="O88" s="11" t="s">
        <v>634</v>
      </c>
    </row>
    <row r="89" spans="1:15" x14ac:dyDescent="0.35">
      <c r="A89" s="8">
        <v>87</v>
      </c>
      <c r="B89" s="9" t="s">
        <v>222</v>
      </c>
      <c r="C89" s="10" t="s">
        <v>80</v>
      </c>
      <c r="D89" s="7" t="s">
        <v>223</v>
      </c>
      <c r="E89" s="10" t="s">
        <v>75</v>
      </c>
      <c r="F89" s="10" t="s">
        <v>53</v>
      </c>
      <c r="G89" s="10" t="s">
        <v>613</v>
      </c>
      <c r="H89" s="8">
        <v>2023</v>
      </c>
      <c r="I89" s="10" t="s">
        <v>57</v>
      </c>
      <c r="J89" s="12">
        <v>1642665</v>
      </c>
      <c r="K89" s="10" t="s">
        <v>66</v>
      </c>
      <c r="L89" s="10" t="s">
        <v>28</v>
      </c>
      <c r="M89" s="10" t="s">
        <v>20</v>
      </c>
      <c r="N89" s="8">
        <f t="shared" ca="1" si="1"/>
        <v>5</v>
      </c>
      <c r="O89" s="11" t="s">
        <v>631</v>
      </c>
    </row>
    <row r="90" spans="1:15" x14ac:dyDescent="0.35">
      <c r="A90" s="8">
        <v>88</v>
      </c>
      <c r="B90" s="9" t="s">
        <v>224</v>
      </c>
      <c r="C90" s="10" t="s">
        <v>13</v>
      </c>
      <c r="D90" s="7" t="s">
        <v>225</v>
      </c>
      <c r="E90" s="10" t="s">
        <v>33</v>
      </c>
      <c r="F90" s="10" t="s">
        <v>53</v>
      </c>
      <c r="G90" s="10" t="s">
        <v>614</v>
      </c>
      <c r="H90" s="8">
        <v>2019</v>
      </c>
      <c r="I90" s="10" t="s">
        <v>17</v>
      </c>
      <c r="J90" s="12">
        <v>1066859</v>
      </c>
      <c r="K90" s="10" t="s">
        <v>66</v>
      </c>
      <c r="L90" s="10" t="s">
        <v>19</v>
      </c>
      <c r="M90" s="10" t="s">
        <v>41</v>
      </c>
      <c r="N90" s="8">
        <f t="shared" ca="1" si="1"/>
        <v>6</v>
      </c>
      <c r="O90" s="11" t="s">
        <v>633</v>
      </c>
    </row>
    <row r="91" spans="1:15" x14ac:dyDescent="0.35">
      <c r="A91" s="8">
        <v>89</v>
      </c>
      <c r="B91" s="9" t="s">
        <v>226</v>
      </c>
      <c r="C91" s="10" t="s">
        <v>51</v>
      </c>
      <c r="D91" s="7" t="s">
        <v>227</v>
      </c>
      <c r="E91" s="10" t="s">
        <v>33</v>
      </c>
      <c r="F91" s="10" t="s">
        <v>34</v>
      </c>
      <c r="G91" s="10" t="s">
        <v>615</v>
      </c>
      <c r="H91" s="8">
        <v>2021</v>
      </c>
      <c r="I91" s="10" t="s">
        <v>97</v>
      </c>
      <c r="J91" s="12">
        <v>953934</v>
      </c>
      <c r="K91" s="10" t="s">
        <v>18</v>
      </c>
      <c r="L91" s="10" t="s">
        <v>28</v>
      </c>
      <c r="M91" s="10" t="s">
        <v>20</v>
      </c>
      <c r="N91" s="8">
        <f t="shared" ca="1" si="1"/>
        <v>4</v>
      </c>
      <c r="O91" s="11" t="s">
        <v>633</v>
      </c>
    </row>
    <row r="92" spans="1:15" x14ac:dyDescent="0.35">
      <c r="A92" s="8">
        <v>90</v>
      </c>
      <c r="B92" s="9" t="s">
        <v>228</v>
      </c>
      <c r="C92" s="10" t="s">
        <v>77</v>
      </c>
      <c r="D92" s="7" t="s">
        <v>229</v>
      </c>
      <c r="E92" s="10" t="s">
        <v>15</v>
      </c>
      <c r="F92" s="10" t="s">
        <v>16</v>
      </c>
      <c r="G92" s="10" t="s">
        <v>616</v>
      </c>
      <c r="H92" s="8">
        <v>2021</v>
      </c>
      <c r="I92" s="10" t="s">
        <v>57</v>
      </c>
      <c r="J92" s="12">
        <v>1317322</v>
      </c>
      <c r="K92" s="10" t="s">
        <v>66</v>
      </c>
      <c r="L92" s="10" t="s">
        <v>28</v>
      </c>
      <c r="M92" s="10" t="s">
        <v>20</v>
      </c>
      <c r="N92" s="8">
        <f t="shared" ca="1" si="1"/>
        <v>4</v>
      </c>
      <c r="O92" s="11" t="s">
        <v>631</v>
      </c>
    </row>
    <row r="93" spans="1:15" x14ac:dyDescent="0.35">
      <c r="A93" s="8">
        <v>91</v>
      </c>
      <c r="B93" s="9" t="s">
        <v>230</v>
      </c>
      <c r="C93" s="10" t="s">
        <v>80</v>
      </c>
      <c r="D93" s="7" t="s">
        <v>231</v>
      </c>
      <c r="E93" s="10" t="s">
        <v>33</v>
      </c>
      <c r="F93" s="10" t="s">
        <v>60</v>
      </c>
      <c r="G93" s="10" t="s">
        <v>611</v>
      </c>
      <c r="H93" s="8">
        <v>2023</v>
      </c>
      <c r="I93" s="10" t="s">
        <v>17</v>
      </c>
      <c r="J93" s="12">
        <v>602997</v>
      </c>
      <c r="K93" s="10" t="s">
        <v>66</v>
      </c>
      <c r="L93" s="10" t="s">
        <v>19</v>
      </c>
      <c r="M93" s="10" t="s">
        <v>20</v>
      </c>
      <c r="N93" s="8">
        <f t="shared" ca="1" si="1"/>
        <v>6</v>
      </c>
      <c r="O93" s="11" t="s">
        <v>632</v>
      </c>
    </row>
    <row r="94" spans="1:15" x14ac:dyDescent="0.35">
      <c r="A94" s="8">
        <v>92</v>
      </c>
      <c r="B94" s="9" t="s">
        <v>232</v>
      </c>
      <c r="C94" s="10" t="s">
        <v>62</v>
      </c>
      <c r="D94" s="7" t="s">
        <v>233</v>
      </c>
      <c r="E94" s="10" t="s">
        <v>24</v>
      </c>
      <c r="F94" s="10" t="s">
        <v>34</v>
      </c>
      <c r="G94" s="10" t="s">
        <v>612</v>
      </c>
      <c r="H94" s="8">
        <v>2018</v>
      </c>
      <c r="I94" s="10" t="s">
        <v>17</v>
      </c>
      <c r="J94" s="12">
        <v>460678</v>
      </c>
      <c r="K94" s="10" t="s">
        <v>18</v>
      </c>
      <c r="L94" s="10" t="s">
        <v>19</v>
      </c>
      <c r="M94" s="10" t="s">
        <v>41</v>
      </c>
      <c r="N94" s="8">
        <f t="shared" ca="1" si="1"/>
        <v>5</v>
      </c>
      <c r="O94" s="11" t="s">
        <v>632</v>
      </c>
    </row>
    <row r="95" spans="1:15" x14ac:dyDescent="0.35">
      <c r="A95" s="8">
        <v>93</v>
      </c>
      <c r="B95" s="9" t="s">
        <v>234</v>
      </c>
      <c r="C95" s="10" t="s">
        <v>31</v>
      </c>
      <c r="D95" s="7" t="s">
        <v>235</v>
      </c>
      <c r="E95" s="10" t="s">
        <v>24</v>
      </c>
      <c r="F95" s="10" t="s">
        <v>53</v>
      </c>
      <c r="G95" s="10" t="s">
        <v>613</v>
      </c>
      <c r="H95" s="8">
        <v>2024</v>
      </c>
      <c r="I95" s="10" t="s">
        <v>82</v>
      </c>
      <c r="J95" s="12">
        <v>333837</v>
      </c>
      <c r="K95" s="10" t="s">
        <v>18</v>
      </c>
      <c r="L95" s="10" t="s">
        <v>28</v>
      </c>
      <c r="M95" s="10" t="s">
        <v>29</v>
      </c>
      <c r="N95" s="8">
        <f t="shared" ca="1" si="1"/>
        <v>4</v>
      </c>
      <c r="O95" s="11" t="s">
        <v>631</v>
      </c>
    </row>
    <row r="96" spans="1:15" x14ac:dyDescent="0.35">
      <c r="A96" s="8">
        <v>94</v>
      </c>
      <c r="B96" s="9" t="s">
        <v>236</v>
      </c>
      <c r="C96" s="10" t="s">
        <v>51</v>
      </c>
      <c r="D96" s="7" t="s">
        <v>237</v>
      </c>
      <c r="E96" s="10" t="s">
        <v>24</v>
      </c>
      <c r="F96" s="10" t="s">
        <v>39</v>
      </c>
      <c r="G96" s="10" t="s">
        <v>614</v>
      </c>
      <c r="H96" s="8">
        <v>2016</v>
      </c>
      <c r="I96" s="10" t="s">
        <v>17</v>
      </c>
      <c r="J96" s="12">
        <v>1349293</v>
      </c>
      <c r="K96" s="10" t="s">
        <v>27</v>
      </c>
      <c r="L96" s="10" t="s">
        <v>19</v>
      </c>
      <c r="M96" s="10" t="s">
        <v>29</v>
      </c>
      <c r="N96" s="8">
        <f t="shared" ca="1" si="1"/>
        <v>6</v>
      </c>
      <c r="O96" s="11" t="s">
        <v>631</v>
      </c>
    </row>
    <row r="97" spans="1:15" x14ac:dyDescent="0.35">
      <c r="A97" s="8">
        <v>95</v>
      </c>
      <c r="B97" s="9" t="s">
        <v>238</v>
      </c>
      <c r="C97" s="10" t="s">
        <v>77</v>
      </c>
      <c r="D97" s="7" t="s">
        <v>239</v>
      </c>
      <c r="E97" s="10" t="s">
        <v>75</v>
      </c>
      <c r="F97" s="10" t="s">
        <v>106</v>
      </c>
      <c r="G97" s="10" t="s">
        <v>615</v>
      </c>
      <c r="H97" s="8">
        <v>2024</v>
      </c>
      <c r="I97" s="10" t="s">
        <v>57</v>
      </c>
      <c r="J97" s="12">
        <v>578408</v>
      </c>
      <c r="K97" s="10" t="s">
        <v>27</v>
      </c>
      <c r="L97" s="10" t="s">
        <v>28</v>
      </c>
      <c r="M97" s="10" t="s">
        <v>29</v>
      </c>
      <c r="N97" s="8">
        <f t="shared" ca="1" si="1"/>
        <v>10</v>
      </c>
      <c r="O97" s="11" t="s">
        <v>631</v>
      </c>
    </row>
    <row r="98" spans="1:15" x14ac:dyDescent="0.35">
      <c r="A98" s="8">
        <v>96</v>
      </c>
      <c r="B98" s="9" t="s">
        <v>240</v>
      </c>
      <c r="C98" s="10" t="s">
        <v>22</v>
      </c>
      <c r="D98" s="7" t="s">
        <v>241</v>
      </c>
      <c r="E98" s="10" t="s">
        <v>15</v>
      </c>
      <c r="F98" s="10" t="s">
        <v>106</v>
      </c>
      <c r="G98" s="10" t="s">
        <v>616</v>
      </c>
      <c r="H98" s="8">
        <v>2021</v>
      </c>
      <c r="I98" s="10" t="s">
        <v>40</v>
      </c>
      <c r="J98" s="12">
        <v>1093443</v>
      </c>
      <c r="K98" s="10" t="s">
        <v>18</v>
      </c>
      <c r="L98" s="10" t="s">
        <v>28</v>
      </c>
      <c r="M98" s="10" t="s">
        <v>49</v>
      </c>
      <c r="N98" s="8">
        <f t="shared" ca="1" si="1"/>
        <v>4</v>
      </c>
      <c r="O98" s="11" t="s">
        <v>630</v>
      </c>
    </row>
    <row r="99" spans="1:15" x14ac:dyDescent="0.35">
      <c r="A99" s="8">
        <v>97</v>
      </c>
      <c r="B99" s="9" t="s">
        <v>242</v>
      </c>
      <c r="C99" s="10" t="s">
        <v>77</v>
      </c>
      <c r="D99" s="7" t="s">
        <v>243</v>
      </c>
      <c r="E99" s="10" t="s">
        <v>33</v>
      </c>
      <c r="F99" s="10" t="s">
        <v>16</v>
      </c>
      <c r="G99" s="10" t="s">
        <v>611</v>
      </c>
      <c r="H99" s="8">
        <v>2018</v>
      </c>
      <c r="I99" s="10" t="s">
        <v>26</v>
      </c>
      <c r="J99" s="12">
        <v>731126</v>
      </c>
      <c r="K99" s="10" t="s">
        <v>66</v>
      </c>
      <c r="L99" s="10" t="s">
        <v>28</v>
      </c>
      <c r="M99" s="10" t="s">
        <v>29</v>
      </c>
      <c r="N99" s="8">
        <f t="shared" ca="1" si="1"/>
        <v>4</v>
      </c>
      <c r="O99" s="11" t="s">
        <v>631</v>
      </c>
    </row>
    <row r="100" spans="1:15" x14ac:dyDescent="0.35">
      <c r="A100" s="8">
        <v>98</v>
      </c>
      <c r="B100" s="9" t="s">
        <v>244</v>
      </c>
      <c r="C100" s="10" t="s">
        <v>31</v>
      </c>
      <c r="D100" s="7" t="s">
        <v>245</v>
      </c>
      <c r="E100" s="10" t="s">
        <v>24</v>
      </c>
      <c r="F100" s="10" t="s">
        <v>34</v>
      </c>
      <c r="G100" s="10" t="s">
        <v>612</v>
      </c>
      <c r="H100" s="8">
        <v>2023</v>
      </c>
      <c r="I100" s="10" t="s">
        <v>26</v>
      </c>
      <c r="J100" s="12">
        <v>484964</v>
      </c>
      <c r="K100" s="10" t="s">
        <v>66</v>
      </c>
      <c r="L100" s="10" t="s">
        <v>19</v>
      </c>
      <c r="M100" s="10" t="s">
        <v>20</v>
      </c>
      <c r="N100" s="8">
        <f t="shared" ca="1" si="1"/>
        <v>10</v>
      </c>
      <c r="O100" s="11" t="s">
        <v>630</v>
      </c>
    </row>
    <row r="101" spans="1:15" x14ac:dyDescent="0.35">
      <c r="A101" s="8">
        <v>99</v>
      </c>
      <c r="B101" s="9" t="s">
        <v>246</v>
      </c>
      <c r="C101" s="10" t="s">
        <v>80</v>
      </c>
      <c r="D101" s="7" t="s">
        <v>247</v>
      </c>
      <c r="E101" s="10" t="s">
        <v>48</v>
      </c>
      <c r="F101" s="10" t="s">
        <v>45</v>
      </c>
      <c r="G101" s="10" t="s">
        <v>613</v>
      </c>
      <c r="H101" s="8">
        <v>2020</v>
      </c>
      <c r="I101" s="10" t="s">
        <v>82</v>
      </c>
      <c r="J101" s="12">
        <v>1385184</v>
      </c>
      <c r="K101" s="10" t="s">
        <v>27</v>
      </c>
      <c r="L101" s="10" t="s">
        <v>28</v>
      </c>
      <c r="M101" s="10" t="s">
        <v>49</v>
      </c>
      <c r="N101" s="8">
        <f t="shared" ca="1" si="1"/>
        <v>7</v>
      </c>
      <c r="O101" s="11" t="s">
        <v>631</v>
      </c>
    </row>
    <row r="102" spans="1:15" x14ac:dyDescent="0.35">
      <c r="A102" s="8">
        <v>100</v>
      </c>
      <c r="B102" s="9" t="s">
        <v>248</v>
      </c>
      <c r="C102" s="10" t="s">
        <v>55</v>
      </c>
      <c r="D102" s="7" t="s">
        <v>249</v>
      </c>
      <c r="E102" s="10" t="s">
        <v>48</v>
      </c>
      <c r="F102" s="10" t="s">
        <v>45</v>
      </c>
      <c r="G102" s="10" t="s">
        <v>614</v>
      </c>
      <c r="H102" s="8">
        <v>2023</v>
      </c>
      <c r="I102" s="10" t="s">
        <v>17</v>
      </c>
      <c r="J102" s="12">
        <v>1649687</v>
      </c>
      <c r="K102" s="10" t="s">
        <v>27</v>
      </c>
      <c r="L102" s="10" t="s">
        <v>19</v>
      </c>
      <c r="M102" s="10" t="s">
        <v>35</v>
      </c>
      <c r="N102" s="8">
        <f t="shared" ca="1" si="1"/>
        <v>9</v>
      </c>
      <c r="O102" s="11" t="s">
        <v>632</v>
      </c>
    </row>
    <row r="103" spans="1:15" x14ac:dyDescent="0.35">
      <c r="A103" s="8">
        <v>101</v>
      </c>
      <c r="B103" s="9" t="s">
        <v>250</v>
      </c>
      <c r="C103" s="10" t="s">
        <v>77</v>
      </c>
      <c r="D103" s="7" t="s">
        <v>251</v>
      </c>
      <c r="E103" s="10" t="s">
        <v>33</v>
      </c>
      <c r="F103" s="10" t="s">
        <v>90</v>
      </c>
      <c r="G103" s="10" t="s">
        <v>615</v>
      </c>
      <c r="H103" s="8">
        <v>2022</v>
      </c>
      <c r="I103" s="10" t="s">
        <v>40</v>
      </c>
      <c r="J103" s="12">
        <v>1617620</v>
      </c>
      <c r="K103" s="10" t="s">
        <v>27</v>
      </c>
      <c r="L103" s="10" t="s">
        <v>28</v>
      </c>
      <c r="M103" s="10" t="s">
        <v>49</v>
      </c>
      <c r="N103" s="8">
        <f t="shared" ca="1" si="1"/>
        <v>8</v>
      </c>
      <c r="O103" s="11" t="s">
        <v>634</v>
      </c>
    </row>
    <row r="104" spans="1:15" x14ac:dyDescent="0.35">
      <c r="A104" s="8">
        <v>102</v>
      </c>
      <c r="B104" s="9" t="s">
        <v>252</v>
      </c>
      <c r="C104" s="10" t="s">
        <v>55</v>
      </c>
      <c r="D104" s="7" t="s">
        <v>253</v>
      </c>
      <c r="E104" s="10" t="s">
        <v>48</v>
      </c>
      <c r="F104" s="10" t="s">
        <v>45</v>
      </c>
      <c r="G104" s="10" t="s">
        <v>616</v>
      </c>
      <c r="H104" s="8">
        <v>2018</v>
      </c>
      <c r="I104" s="10" t="s">
        <v>17</v>
      </c>
      <c r="J104" s="12">
        <v>718986</v>
      </c>
      <c r="K104" s="10" t="s">
        <v>27</v>
      </c>
      <c r="L104" s="10" t="s">
        <v>28</v>
      </c>
      <c r="M104" s="10" t="s">
        <v>41</v>
      </c>
      <c r="N104" s="8">
        <f t="shared" ca="1" si="1"/>
        <v>7</v>
      </c>
      <c r="O104" s="11" t="s">
        <v>634</v>
      </c>
    </row>
    <row r="105" spans="1:15" x14ac:dyDescent="0.35">
      <c r="A105" s="8">
        <v>103</v>
      </c>
      <c r="B105" s="9" t="s">
        <v>254</v>
      </c>
      <c r="C105" s="10" t="s">
        <v>37</v>
      </c>
      <c r="D105" s="7" t="s">
        <v>255</v>
      </c>
      <c r="E105" s="10" t="s">
        <v>48</v>
      </c>
      <c r="F105" s="10" t="s">
        <v>90</v>
      </c>
      <c r="G105" s="10" t="s">
        <v>611</v>
      </c>
      <c r="H105" s="8">
        <v>2021</v>
      </c>
      <c r="I105" s="10" t="s">
        <v>40</v>
      </c>
      <c r="J105" s="12">
        <v>1741901</v>
      </c>
      <c r="K105" s="10" t="s">
        <v>27</v>
      </c>
      <c r="L105" s="10" t="s">
        <v>28</v>
      </c>
      <c r="M105" s="10" t="s">
        <v>29</v>
      </c>
      <c r="N105" s="8">
        <f t="shared" ca="1" si="1"/>
        <v>9</v>
      </c>
      <c r="O105" s="11" t="s">
        <v>631</v>
      </c>
    </row>
    <row r="106" spans="1:15" x14ac:dyDescent="0.35">
      <c r="A106" s="8">
        <v>104</v>
      </c>
      <c r="B106" s="9" t="s">
        <v>256</v>
      </c>
      <c r="C106" s="10" t="s">
        <v>37</v>
      </c>
      <c r="D106" s="7" t="s">
        <v>257</v>
      </c>
      <c r="E106" s="10" t="s">
        <v>75</v>
      </c>
      <c r="F106" s="10" t="s">
        <v>53</v>
      </c>
      <c r="G106" s="10" t="s">
        <v>612</v>
      </c>
      <c r="H106" s="8">
        <v>2021</v>
      </c>
      <c r="I106" s="10" t="s">
        <v>57</v>
      </c>
      <c r="J106" s="12">
        <v>1417106</v>
      </c>
      <c r="K106" s="10" t="s">
        <v>66</v>
      </c>
      <c r="L106" s="10" t="s">
        <v>28</v>
      </c>
      <c r="M106" s="10" t="s">
        <v>49</v>
      </c>
      <c r="N106" s="8">
        <f t="shared" ca="1" si="1"/>
        <v>6</v>
      </c>
      <c r="O106" s="11" t="s">
        <v>631</v>
      </c>
    </row>
    <row r="107" spans="1:15" x14ac:dyDescent="0.35">
      <c r="A107" s="8">
        <v>105</v>
      </c>
      <c r="B107" s="9" t="s">
        <v>258</v>
      </c>
      <c r="C107" s="10" t="s">
        <v>77</v>
      </c>
      <c r="D107" s="7" t="s">
        <v>259</v>
      </c>
      <c r="E107" s="10" t="s">
        <v>24</v>
      </c>
      <c r="F107" s="10" t="s">
        <v>53</v>
      </c>
      <c r="G107" s="10" t="s">
        <v>613</v>
      </c>
      <c r="H107" s="8">
        <v>2021</v>
      </c>
      <c r="I107" s="10" t="s">
        <v>97</v>
      </c>
      <c r="J107" s="12">
        <v>657961</v>
      </c>
      <c r="K107" s="10" t="s">
        <v>18</v>
      </c>
      <c r="L107" s="10" t="s">
        <v>19</v>
      </c>
      <c r="M107" s="10" t="s">
        <v>29</v>
      </c>
      <c r="N107" s="8">
        <f t="shared" ca="1" si="1"/>
        <v>9</v>
      </c>
      <c r="O107" s="11" t="s">
        <v>634</v>
      </c>
    </row>
    <row r="108" spans="1:15" x14ac:dyDescent="0.35">
      <c r="A108" s="8">
        <v>106</v>
      </c>
      <c r="B108" s="9" t="s">
        <v>135</v>
      </c>
      <c r="C108" s="10" t="s">
        <v>13</v>
      </c>
      <c r="D108" s="7" t="s">
        <v>260</v>
      </c>
      <c r="E108" s="10" t="s">
        <v>33</v>
      </c>
      <c r="F108" s="10" t="s">
        <v>90</v>
      </c>
      <c r="G108" s="10" t="s">
        <v>614</v>
      </c>
      <c r="H108" s="8">
        <v>2017</v>
      </c>
      <c r="I108" s="10" t="s">
        <v>40</v>
      </c>
      <c r="J108" s="12">
        <v>1863830</v>
      </c>
      <c r="K108" s="10" t="s">
        <v>27</v>
      </c>
      <c r="L108" s="10" t="s">
        <v>19</v>
      </c>
      <c r="M108" s="10" t="s">
        <v>20</v>
      </c>
      <c r="N108" s="8">
        <f t="shared" ca="1" si="1"/>
        <v>10</v>
      </c>
      <c r="O108" s="11" t="s">
        <v>631</v>
      </c>
    </row>
    <row r="109" spans="1:15" x14ac:dyDescent="0.35">
      <c r="A109" s="8">
        <v>107</v>
      </c>
      <c r="B109" s="9" t="s">
        <v>61</v>
      </c>
      <c r="C109" s="10" t="s">
        <v>51</v>
      </c>
      <c r="D109" s="7" t="s">
        <v>261</v>
      </c>
      <c r="E109" s="10" t="s">
        <v>24</v>
      </c>
      <c r="F109" s="10" t="s">
        <v>60</v>
      </c>
      <c r="G109" s="10" t="s">
        <v>615</v>
      </c>
      <c r="H109" s="8">
        <v>2016</v>
      </c>
      <c r="I109" s="10" t="s">
        <v>40</v>
      </c>
      <c r="J109" s="12">
        <v>1777366</v>
      </c>
      <c r="K109" s="10" t="s">
        <v>18</v>
      </c>
      <c r="L109" s="10" t="s">
        <v>28</v>
      </c>
      <c r="M109" s="10" t="s">
        <v>20</v>
      </c>
      <c r="N109" s="8">
        <f t="shared" ca="1" si="1"/>
        <v>5</v>
      </c>
      <c r="O109" s="11" t="s">
        <v>632</v>
      </c>
    </row>
    <row r="110" spans="1:15" x14ac:dyDescent="0.35">
      <c r="A110" s="8">
        <v>108</v>
      </c>
      <c r="B110" s="9" t="s">
        <v>262</v>
      </c>
      <c r="C110" s="10" t="s">
        <v>77</v>
      </c>
      <c r="D110" s="7" t="s">
        <v>263</v>
      </c>
      <c r="E110" s="10" t="s">
        <v>48</v>
      </c>
      <c r="F110" s="10" t="s">
        <v>106</v>
      </c>
      <c r="G110" s="10" t="s">
        <v>616</v>
      </c>
      <c r="H110" s="8">
        <v>2016</v>
      </c>
      <c r="I110" s="10" t="s">
        <v>17</v>
      </c>
      <c r="J110" s="12">
        <v>1580550</v>
      </c>
      <c r="K110" s="10" t="s">
        <v>18</v>
      </c>
      <c r="L110" s="10" t="s">
        <v>19</v>
      </c>
      <c r="M110" s="10" t="s">
        <v>41</v>
      </c>
      <c r="N110" s="8">
        <f t="shared" ca="1" si="1"/>
        <v>9</v>
      </c>
      <c r="O110" s="11" t="s">
        <v>632</v>
      </c>
    </row>
    <row r="111" spans="1:15" x14ac:dyDescent="0.35">
      <c r="A111" s="8">
        <v>109</v>
      </c>
      <c r="B111" s="9" t="s">
        <v>264</v>
      </c>
      <c r="C111" s="10" t="s">
        <v>62</v>
      </c>
      <c r="D111" s="7" t="s">
        <v>265</v>
      </c>
      <c r="E111" s="10" t="s">
        <v>15</v>
      </c>
      <c r="F111" s="10" t="s">
        <v>16</v>
      </c>
      <c r="G111" s="10" t="s">
        <v>611</v>
      </c>
      <c r="H111" s="8">
        <v>2019</v>
      </c>
      <c r="I111" s="10" t="s">
        <v>82</v>
      </c>
      <c r="J111" s="12">
        <v>438760</v>
      </c>
      <c r="K111" s="10" t="s">
        <v>66</v>
      </c>
      <c r="L111" s="10" t="s">
        <v>19</v>
      </c>
      <c r="M111" s="10" t="s">
        <v>49</v>
      </c>
      <c r="N111" s="8">
        <f t="shared" ca="1" si="1"/>
        <v>10</v>
      </c>
      <c r="O111" s="11" t="s">
        <v>633</v>
      </c>
    </row>
    <row r="112" spans="1:15" x14ac:dyDescent="0.35">
      <c r="A112" s="8">
        <v>110</v>
      </c>
      <c r="B112" s="9" t="s">
        <v>266</v>
      </c>
      <c r="C112" s="10" t="s">
        <v>80</v>
      </c>
      <c r="D112" s="7" t="s">
        <v>267</v>
      </c>
      <c r="E112" s="10" t="s">
        <v>48</v>
      </c>
      <c r="F112" s="10" t="s">
        <v>16</v>
      </c>
      <c r="G112" s="10" t="s">
        <v>612</v>
      </c>
      <c r="H112" s="8">
        <v>2015</v>
      </c>
      <c r="I112" s="10" t="s">
        <v>26</v>
      </c>
      <c r="J112" s="12">
        <v>1680095</v>
      </c>
      <c r="K112" s="10" t="s">
        <v>66</v>
      </c>
      <c r="L112" s="10" t="s">
        <v>19</v>
      </c>
      <c r="M112" s="10" t="s">
        <v>29</v>
      </c>
      <c r="N112" s="8">
        <f t="shared" ca="1" si="1"/>
        <v>7</v>
      </c>
      <c r="O112" s="11" t="s">
        <v>632</v>
      </c>
    </row>
    <row r="113" spans="1:15" x14ac:dyDescent="0.35">
      <c r="A113" s="8">
        <v>111</v>
      </c>
      <c r="B113" s="9" t="s">
        <v>268</v>
      </c>
      <c r="C113" s="10" t="s">
        <v>43</v>
      </c>
      <c r="D113" s="7" t="s">
        <v>269</v>
      </c>
      <c r="E113" s="10" t="s">
        <v>33</v>
      </c>
      <c r="F113" s="10" t="s">
        <v>34</v>
      </c>
      <c r="G113" s="10" t="s">
        <v>613</v>
      </c>
      <c r="H113" s="8">
        <v>2018</v>
      </c>
      <c r="I113" s="10" t="s">
        <v>40</v>
      </c>
      <c r="J113" s="12">
        <v>705572</v>
      </c>
      <c r="K113" s="10" t="s">
        <v>18</v>
      </c>
      <c r="L113" s="10" t="s">
        <v>19</v>
      </c>
      <c r="M113" s="10" t="s">
        <v>49</v>
      </c>
      <c r="N113" s="8">
        <f t="shared" ca="1" si="1"/>
        <v>10</v>
      </c>
      <c r="O113" s="11" t="s">
        <v>633</v>
      </c>
    </row>
    <row r="114" spans="1:15" x14ac:dyDescent="0.35">
      <c r="A114" s="8">
        <v>112</v>
      </c>
      <c r="B114" s="9" t="s">
        <v>270</v>
      </c>
      <c r="C114" s="10" t="s">
        <v>43</v>
      </c>
      <c r="D114" s="7" t="s">
        <v>271</v>
      </c>
      <c r="E114" s="10" t="s">
        <v>75</v>
      </c>
      <c r="F114" s="10" t="s">
        <v>45</v>
      </c>
      <c r="G114" s="10" t="s">
        <v>614</v>
      </c>
      <c r="H114" s="8">
        <v>2018</v>
      </c>
      <c r="I114" s="10" t="s">
        <v>57</v>
      </c>
      <c r="J114" s="12">
        <v>1081735</v>
      </c>
      <c r="K114" s="10" t="s">
        <v>18</v>
      </c>
      <c r="L114" s="10" t="s">
        <v>28</v>
      </c>
      <c r="M114" s="10" t="s">
        <v>49</v>
      </c>
      <c r="N114" s="8">
        <f t="shared" ca="1" si="1"/>
        <v>4</v>
      </c>
      <c r="O114" s="11" t="s">
        <v>632</v>
      </c>
    </row>
    <row r="115" spans="1:15" x14ac:dyDescent="0.35">
      <c r="A115" s="8">
        <v>113</v>
      </c>
      <c r="B115" s="9" t="s">
        <v>272</v>
      </c>
      <c r="C115" s="10" t="s">
        <v>13</v>
      </c>
      <c r="D115" s="7" t="s">
        <v>273</v>
      </c>
      <c r="E115" s="10" t="s">
        <v>75</v>
      </c>
      <c r="F115" s="10" t="s">
        <v>16</v>
      </c>
      <c r="G115" s="10" t="s">
        <v>615</v>
      </c>
      <c r="H115" s="8">
        <v>2017</v>
      </c>
      <c r="I115" s="10" t="s">
        <v>26</v>
      </c>
      <c r="J115" s="12">
        <v>1042256</v>
      </c>
      <c r="K115" s="10" t="s">
        <v>66</v>
      </c>
      <c r="L115" s="10" t="s">
        <v>19</v>
      </c>
      <c r="M115" s="10" t="s">
        <v>49</v>
      </c>
      <c r="N115" s="8">
        <f t="shared" ca="1" si="1"/>
        <v>8</v>
      </c>
      <c r="O115" s="11" t="s">
        <v>630</v>
      </c>
    </row>
    <row r="116" spans="1:15" x14ac:dyDescent="0.35">
      <c r="A116" s="8">
        <v>114</v>
      </c>
      <c r="B116" s="9" t="s">
        <v>274</v>
      </c>
      <c r="C116" s="10" t="s">
        <v>31</v>
      </c>
      <c r="D116" s="7" t="s">
        <v>275</v>
      </c>
      <c r="E116" s="10" t="s">
        <v>48</v>
      </c>
      <c r="F116" s="10" t="s">
        <v>39</v>
      </c>
      <c r="G116" s="10" t="s">
        <v>616</v>
      </c>
      <c r="H116" s="8">
        <v>2019</v>
      </c>
      <c r="I116" s="10" t="s">
        <v>97</v>
      </c>
      <c r="J116" s="12">
        <v>568376</v>
      </c>
      <c r="K116" s="10" t="s">
        <v>27</v>
      </c>
      <c r="L116" s="10" t="s">
        <v>28</v>
      </c>
      <c r="M116" s="10" t="s">
        <v>20</v>
      </c>
      <c r="N116" s="8">
        <f t="shared" ca="1" si="1"/>
        <v>4</v>
      </c>
      <c r="O116" s="11" t="s">
        <v>634</v>
      </c>
    </row>
    <row r="117" spans="1:15" x14ac:dyDescent="0.35">
      <c r="A117" s="8">
        <v>115</v>
      </c>
      <c r="B117" s="9" t="s">
        <v>276</v>
      </c>
      <c r="C117" s="10" t="s">
        <v>55</v>
      </c>
      <c r="D117" s="7" t="s">
        <v>277</v>
      </c>
      <c r="E117" s="10" t="s">
        <v>33</v>
      </c>
      <c r="F117" s="10" t="s">
        <v>45</v>
      </c>
      <c r="G117" s="10" t="s">
        <v>611</v>
      </c>
      <c r="H117" s="8">
        <v>2019</v>
      </c>
      <c r="I117" s="10" t="s">
        <v>97</v>
      </c>
      <c r="J117" s="12">
        <v>538024</v>
      </c>
      <c r="K117" s="10" t="s">
        <v>27</v>
      </c>
      <c r="L117" s="10" t="s">
        <v>28</v>
      </c>
      <c r="M117" s="10" t="s">
        <v>20</v>
      </c>
      <c r="N117" s="8">
        <f t="shared" ca="1" si="1"/>
        <v>4</v>
      </c>
      <c r="O117" s="11" t="s">
        <v>633</v>
      </c>
    </row>
    <row r="118" spans="1:15" x14ac:dyDescent="0.35">
      <c r="A118" s="8">
        <v>116</v>
      </c>
      <c r="B118" s="9" t="s">
        <v>278</v>
      </c>
      <c r="C118" s="10" t="s">
        <v>22</v>
      </c>
      <c r="D118" s="7" t="s">
        <v>279</v>
      </c>
      <c r="E118" s="10" t="s">
        <v>75</v>
      </c>
      <c r="F118" s="10" t="s">
        <v>34</v>
      </c>
      <c r="G118" s="10" t="s">
        <v>612</v>
      </c>
      <c r="H118" s="8">
        <v>2018</v>
      </c>
      <c r="I118" s="10" t="s">
        <v>97</v>
      </c>
      <c r="J118" s="12">
        <v>852160</v>
      </c>
      <c r="K118" s="10" t="s">
        <v>66</v>
      </c>
      <c r="L118" s="10" t="s">
        <v>19</v>
      </c>
      <c r="M118" s="10" t="s">
        <v>49</v>
      </c>
      <c r="N118" s="8">
        <f t="shared" ca="1" si="1"/>
        <v>6</v>
      </c>
      <c r="O118" s="11" t="s">
        <v>632</v>
      </c>
    </row>
    <row r="119" spans="1:15" x14ac:dyDescent="0.35">
      <c r="A119" s="8">
        <v>117</v>
      </c>
      <c r="B119" s="9" t="s">
        <v>280</v>
      </c>
      <c r="C119" s="10" t="s">
        <v>22</v>
      </c>
      <c r="D119" s="7" t="s">
        <v>281</v>
      </c>
      <c r="E119" s="10" t="s">
        <v>75</v>
      </c>
      <c r="F119" s="10" t="s">
        <v>16</v>
      </c>
      <c r="G119" s="10" t="s">
        <v>613</v>
      </c>
      <c r="H119" s="8">
        <v>2018</v>
      </c>
      <c r="I119" s="10" t="s">
        <v>97</v>
      </c>
      <c r="J119" s="12">
        <v>351885</v>
      </c>
      <c r="K119" s="10" t="s">
        <v>18</v>
      </c>
      <c r="L119" s="10" t="s">
        <v>28</v>
      </c>
      <c r="M119" s="10" t="s">
        <v>35</v>
      </c>
      <c r="N119" s="8">
        <f t="shared" ca="1" si="1"/>
        <v>9</v>
      </c>
      <c r="O119" s="11" t="s">
        <v>631</v>
      </c>
    </row>
    <row r="120" spans="1:15" x14ac:dyDescent="0.35">
      <c r="A120" s="8">
        <v>118</v>
      </c>
      <c r="B120" s="9" t="s">
        <v>76</v>
      </c>
      <c r="C120" s="10" t="s">
        <v>51</v>
      </c>
      <c r="D120" s="7" t="s">
        <v>282</v>
      </c>
      <c r="E120" s="10" t="s">
        <v>15</v>
      </c>
      <c r="F120" s="10" t="s">
        <v>25</v>
      </c>
      <c r="G120" s="10" t="s">
        <v>614</v>
      </c>
      <c r="H120" s="8">
        <v>2018</v>
      </c>
      <c r="I120" s="10" t="s">
        <v>97</v>
      </c>
      <c r="J120" s="12">
        <v>1285779</v>
      </c>
      <c r="K120" s="10" t="s">
        <v>18</v>
      </c>
      <c r="L120" s="10" t="s">
        <v>28</v>
      </c>
      <c r="M120" s="10" t="s">
        <v>41</v>
      </c>
      <c r="N120" s="8">
        <f t="shared" ca="1" si="1"/>
        <v>5</v>
      </c>
      <c r="O120" s="11" t="s">
        <v>632</v>
      </c>
    </row>
    <row r="121" spans="1:15" x14ac:dyDescent="0.35">
      <c r="A121" s="8">
        <v>119</v>
      </c>
      <c r="B121" s="9" t="s">
        <v>283</v>
      </c>
      <c r="C121" s="10" t="s">
        <v>22</v>
      </c>
      <c r="D121" s="7" t="s">
        <v>284</v>
      </c>
      <c r="E121" s="10" t="s">
        <v>33</v>
      </c>
      <c r="F121" s="10" t="s">
        <v>16</v>
      </c>
      <c r="G121" s="10" t="s">
        <v>615</v>
      </c>
      <c r="H121" s="8">
        <v>2024</v>
      </c>
      <c r="I121" s="10" t="s">
        <v>40</v>
      </c>
      <c r="J121" s="12">
        <v>1201048</v>
      </c>
      <c r="K121" s="10" t="s">
        <v>27</v>
      </c>
      <c r="L121" s="10" t="s">
        <v>28</v>
      </c>
      <c r="M121" s="10" t="s">
        <v>35</v>
      </c>
      <c r="N121" s="8">
        <f t="shared" ca="1" si="1"/>
        <v>8</v>
      </c>
      <c r="O121" s="11" t="s">
        <v>632</v>
      </c>
    </row>
    <row r="122" spans="1:15" x14ac:dyDescent="0.35">
      <c r="A122" s="8">
        <v>120</v>
      </c>
      <c r="B122" s="9" t="s">
        <v>285</v>
      </c>
      <c r="C122" s="10" t="s">
        <v>43</v>
      </c>
      <c r="D122" s="7" t="s">
        <v>286</v>
      </c>
      <c r="E122" s="10" t="s">
        <v>33</v>
      </c>
      <c r="F122" s="10" t="s">
        <v>39</v>
      </c>
      <c r="G122" s="10" t="s">
        <v>616</v>
      </c>
      <c r="H122" s="8">
        <v>2020</v>
      </c>
      <c r="I122" s="10" t="s">
        <v>40</v>
      </c>
      <c r="J122" s="12">
        <v>433526</v>
      </c>
      <c r="K122" s="10" t="s">
        <v>66</v>
      </c>
      <c r="L122" s="10" t="s">
        <v>28</v>
      </c>
      <c r="M122" s="10" t="s">
        <v>35</v>
      </c>
      <c r="N122" s="8">
        <f t="shared" ca="1" si="1"/>
        <v>9</v>
      </c>
      <c r="O122" s="11" t="s">
        <v>631</v>
      </c>
    </row>
    <row r="123" spans="1:15" x14ac:dyDescent="0.35">
      <c r="A123" s="8">
        <v>121</v>
      </c>
      <c r="B123" s="9" t="s">
        <v>135</v>
      </c>
      <c r="C123" s="10" t="s">
        <v>51</v>
      </c>
      <c r="D123" s="7" t="s">
        <v>287</v>
      </c>
      <c r="E123" s="10" t="s">
        <v>24</v>
      </c>
      <c r="F123" s="10" t="s">
        <v>87</v>
      </c>
      <c r="G123" s="10" t="s">
        <v>611</v>
      </c>
      <c r="H123" s="8">
        <v>2018</v>
      </c>
      <c r="I123" s="10" t="s">
        <v>97</v>
      </c>
      <c r="J123" s="12">
        <v>882513</v>
      </c>
      <c r="K123" s="10" t="s">
        <v>18</v>
      </c>
      <c r="L123" s="10" t="s">
        <v>19</v>
      </c>
      <c r="M123" s="10" t="s">
        <v>35</v>
      </c>
      <c r="N123" s="8">
        <f t="shared" ca="1" si="1"/>
        <v>7</v>
      </c>
      <c r="O123" s="11" t="s">
        <v>631</v>
      </c>
    </row>
    <row r="124" spans="1:15" x14ac:dyDescent="0.35">
      <c r="A124" s="8">
        <v>122</v>
      </c>
      <c r="B124" s="9" t="s">
        <v>288</v>
      </c>
      <c r="C124" s="10" t="s">
        <v>37</v>
      </c>
      <c r="D124" s="7" t="s">
        <v>289</v>
      </c>
      <c r="E124" s="10" t="s">
        <v>15</v>
      </c>
      <c r="F124" s="10" t="s">
        <v>53</v>
      </c>
      <c r="G124" s="10" t="s">
        <v>612</v>
      </c>
      <c r="H124" s="8">
        <v>2021</v>
      </c>
      <c r="I124" s="10" t="s">
        <v>57</v>
      </c>
      <c r="J124" s="12">
        <v>407836</v>
      </c>
      <c r="K124" s="10" t="s">
        <v>18</v>
      </c>
      <c r="L124" s="10" t="s">
        <v>19</v>
      </c>
      <c r="M124" s="10" t="s">
        <v>35</v>
      </c>
      <c r="N124" s="8">
        <f t="shared" ca="1" si="1"/>
        <v>6</v>
      </c>
      <c r="O124" s="11" t="s">
        <v>630</v>
      </c>
    </row>
    <row r="125" spans="1:15" x14ac:dyDescent="0.35">
      <c r="A125" s="8">
        <v>123</v>
      </c>
      <c r="B125" s="9" t="s">
        <v>290</v>
      </c>
      <c r="C125" s="10" t="s">
        <v>37</v>
      </c>
      <c r="D125" s="7" t="s">
        <v>291</v>
      </c>
      <c r="E125" s="10" t="s">
        <v>48</v>
      </c>
      <c r="F125" s="10" t="s">
        <v>16</v>
      </c>
      <c r="G125" s="10" t="s">
        <v>613</v>
      </c>
      <c r="H125" s="8">
        <v>2015</v>
      </c>
      <c r="I125" s="10" t="s">
        <v>82</v>
      </c>
      <c r="J125" s="12">
        <v>1599210</v>
      </c>
      <c r="K125" s="10" t="s">
        <v>18</v>
      </c>
      <c r="L125" s="10" t="s">
        <v>28</v>
      </c>
      <c r="M125" s="10" t="s">
        <v>41</v>
      </c>
      <c r="N125" s="8">
        <f t="shared" ca="1" si="1"/>
        <v>9</v>
      </c>
      <c r="O125" s="11" t="s">
        <v>632</v>
      </c>
    </row>
    <row r="126" spans="1:15" x14ac:dyDescent="0.35">
      <c r="A126" s="8">
        <v>124</v>
      </c>
      <c r="B126" s="9" t="s">
        <v>292</v>
      </c>
      <c r="C126" s="10" t="s">
        <v>80</v>
      </c>
      <c r="D126" s="7" t="s">
        <v>293</v>
      </c>
      <c r="E126" s="10" t="s">
        <v>24</v>
      </c>
      <c r="F126" s="10" t="s">
        <v>25</v>
      </c>
      <c r="G126" s="10" t="s">
        <v>614</v>
      </c>
      <c r="H126" s="8">
        <v>2016</v>
      </c>
      <c r="I126" s="10" t="s">
        <v>97</v>
      </c>
      <c r="J126" s="12">
        <v>1026756</v>
      </c>
      <c r="K126" s="10" t="s">
        <v>18</v>
      </c>
      <c r="L126" s="10" t="s">
        <v>28</v>
      </c>
      <c r="M126" s="10" t="s">
        <v>29</v>
      </c>
      <c r="N126" s="8">
        <f t="shared" ca="1" si="1"/>
        <v>4</v>
      </c>
      <c r="O126" s="11" t="s">
        <v>630</v>
      </c>
    </row>
    <row r="127" spans="1:15" x14ac:dyDescent="0.35">
      <c r="A127" s="8">
        <v>125</v>
      </c>
      <c r="B127" s="9" t="s">
        <v>294</v>
      </c>
      <c r="C127" s="10" t="s">
        <v>43</v>
      </c>
      <c r="D127" s="7" t="s">
        <v>295</v>
      </c>
      <c r="E127" s="10" t="s">
        <v>33</v>
      </c>
      <c r="F127" s="10" t="s">
        <v>106</v>
      </c>
      <c r="G127" s="10" t="s">
        <v>615</v>
      </c>
      <c r="H127" s="8">
        <v>2017</v>
      </c>
      <c r="I127" s="10" t="s">
        <v>97</v>
      </c>
      <c r="J127" s="12">
        <v>617272</v>
      </c>
      <c r="K127" s="10" t="s">
        <v>18</v>
      </c>
      <c r="L127" s="10" t="s">
        <v>28</v>
      </c>
      <c r="M127" s="10" t="s">
        <v>35</v>
      </c>
      <c r="N127" s="8">
        <f t="shared" ca="1" si="1"/>
        <v>5</v>
      </c>
      <c r="O127" s="11" t="s">
        <v>633</v>
      </c>
    </row>
    <row r="128" spans="1:15" x14ac:dyDescent="0.35">
      <c r="A128" s="8">
        <v>126</v>
      </c>
      <c r="B128" s="9" t="s">
        <v>296</v>
      </c>
      <c r="C128" s="10" t="s">
        <v>37</v>
      </c>
      <c r="D128" s="7" t="s">
        <v>297</v>
      </c>
      <c r="E128" s="10" t="s">
        <v>33</v>
      </c>
      <c r="F128" s="10" t="s">
        <v>45</v>
      </c>
      <c r="G128" s="10" t="s">
        <v>616</v>
      </c>
      <c r="H128" s="8">
        <v>2018</v>
      </c>
      <c r="I128" s="10" t="s">
        <v>82</v>
      </c>
      <c r="J128" s="12">
        <v>1144057</v>
      </c>
      <c r="K128" s="10" t="s">
        <v>18</v>
      </c>
      <c r="L128" s="10" t="s">
        <v>28</v>
      </c>
      <c r="M128" s="10" t="s">
        <v>49</v>
      </c>
      <c r="N128" s="8">
        <f t="shared" ca="1" si="1"/>
        <v>9</v>
      </c>
      <c r="O128" s="11" t="s">
        <v>630</v>
      </c>
    </row>
    <row r="129" spans="1:15" x14ac:dyDescent="0.35">
      <c r="A129" s="8">
        <v>127</v>
      </c>
      <c r="B129" s="9" t="s">
        <v>298</v>
      </c>
      <c r="C129" s="10" t="s">
        <v>37</v>
      </c>
      <c r="D129" s="7" t="s">
        <v>299</v>
      </c>
      <c r="E129" s="10" t="s">
        <v>33</v>
      </c>
      <c r="F129" s="10" t="s">
        <v>53</v>
      </c>
      <c r="G129" s="10" t="s">
        <v>611</v>
      </c>
      <c r="H129" s="8">
        <v>2019</v>
      </c>
      <c r="I129" s="10" t="s">
        <v>40</v>
      </c>
      <c r="J129" s="12">
        <v>1870091</v>
      </c>
      <c r="K129" s="10" t="s">
        <v>27</v>
      </c>
      <c r="L129" s="10" t="s">
        <v>28</v>
      </c>
      <c r="M129" s="10" t="s">
        <v>41</v>
      </c>
      <c r="N129" s="8">
        <f t="shared" ca="1" si="1"/>
        <v>7</v>
      </c>
      <c r="O129" s="11" t="s">
        <v>632</v>
      </c>
    </row>
    <row r="130" spans="1:15" x14ac:dyDescent="0.35">
      <c r="A130" s="8">
        <v>128</v>
      </c>
      <c r="B130" s="9" t="s">
        <v>300</v>
      </c>
      <c r="C130" s="10" t="s">
        <v>62</v>
      </c>
      <c r="D130" s="7" t="s">
        <v>301</v>
      </c>
      <c r="E130" s="10" t="s">
        <v>75</v>
      </c>
      <c r="F130" s="10" t="s">
        <v>34</v>
      </c>
      <c r="G130" s="10" t="s">
        <v>612</v>
      </c>
      <c r="H130" s="8">
        <v>2019</v>
      </c>
      <c r="I130" s="10" t="s">
        <v>26</v>
      </c>
      <c r="J130" s="12">
        <v>1394548</v>
      </c>
      <c r="K130" s="10" t="s">
        <v>66</v>
      </c>
      <c r="L130" s="10" t="s">
        <v>28</v>
      </c>
      <c r="M130" s="10" t="s">
        <v>35</v>
      </c>
      <c r="N130" s="8">
        <f t="shared" ca="1" si="1"/>
        <v>10</v>
      </c>
      <c r="O130" s="11" t="s">
        <v>634</v>
      </c>
    </row>
    <row r="131" spans="1:15" x14ac:dyDescent="0.35">
      <c r="A131" s="8">
        <v>129</v>
      </c>
      <c r="B131" s="9" t="s">
        <v>85</v>
      </c>
      <c r="C131" s="10" t="s">
        <v>37</v>
      </c>
      <c r="D131" s="7" t="s">
        <v>302</v>
      </c>
      <c r="E131" s="10" t="s">
        <v>75</v>
      </c>
      <c r="F131" s="10" t="s">
        <v>106</v>
      </c>
      <c r="G131" s="10" t="s">
        <v>613</v>
      </c>
      <c r="H131" s="8">
        <v>2020</v>
      </c>
      <c r="I131" s="10" t="s">
        <v>40</v>
      </c>
      <c r="J131" s="12">
        <v>894367</v>
      </c>
      <c r="K131" s="10" t="s">
        <v>66</v>
      </c>
      <c r="L131" s="10" t="s">
        <v>28</v>
      </c>
      <c r="M131" s="10" t="s">
        <v>35</v>
      </c>
      <c r="N131" s="8">
        <f t="shared" ref="N131:N194" ca="1" si="2">RANDBETWEEN(4,10)</f>
        <v>6</v>
      </c>
      <c r="O131" s="11" t="s">
        <v>630</v>
      </c>
    </row>
    <row r="132" spans="1:15" x14ac:dyDescent="0.35">
      <c r="A132" s="8">
        <v>130</v>
      </c>
      <c r="B132" s="9" t="s">
        <v>303</v>
      </c>
      <c r="C132" s="10" t="s">
        <v>43</v>
      </c>
      <c r="D132" s="7" t="s">
        <v>304</v>
      </c>
      <c r="E132" s="10" t="s">
        <v>33</v>
      </c>
      <c r="F132" s="10" t="s">
        <v>45</v>
      </c>
      <c r="G132" s="10" t="s">
        <v>614</v>
      </c>
      <c r="H132" s="8">
        <v>2023</v>
      </c>
      <c r="I132" s="10" t="s">
        <v>26</v>
      </c>
      <c r="J132" s="12">
        <v>350379</v>
      </c>
      <c r="K132" s="10" t="s">
        <v>18</v>
      </c>
      <c r="L132" s="10" t="s">
        <v>19</v>
      </c>
      <c r="M132" s="10" t="s">
        <v>41</v>
      </c>
      <c r="N132" s="8">
        <f t="shared" ca="1" si="2"/>
        <v>9</v>
      </c>
      <c r="O132" s="11" t="s">
        <v>634</v>
      </c>
    </row>
    <row r="133" spans="1:15" x14ac:dyDescent="0.35">
      <c r="A133" s="8">
        <v>131</v>
      </c>
      <c r="B133" s="9" t="s">
        <v>305</v>
      </c>
      <c r="C133" s="10" t="s">
        <v>22</v>
      </c>
      <c r="D133" s="7" t="s">
        <v>306</v>
      </c>
      <c r="E133" s="10" t="s">
        <v>15</v>
      </c>
      <c r="F133" s="10" t="s">
        <v>34</v>
      </c>
      <c r="G133" s="10" t="s">
        <v>615</v>
      </c>
      <c r="H133" s="8">
        <v>2023</v>
      </c>
      <c r="I133" s="10" t="s">
        <v>57</v>
      </c>
      <c r="J133" s="12">
        <v>1017113</v>
      </c>
      <c r="K133" s="10" t="s">
        <v>18</v>
      </c>
      <c r="L133" s="10" t="s">
        <v>28</v>
      </c>
      <c r="M133" s="10" t="s">
        <v>35</v>
      </c>
      <c r="N133" s="8">
        <f t="shared" ca="1" si="2"/>
        <v>4</v>
      </c>
      <c r="O133" s="11" t="s">
        <v>630</v>
      </c>
    </row>
    <row r="134" spans="1:15" x14ac:dyDescent="0.35">
      <c r="A134" s="8">
        <v>132</v>
      </c>
      <c r="B134" s="9" t="s">
        <v>307</v>
      </c>
      <c r="C134" s="10" t="s">
        <v>13</v>
      </c>
      <c r="D134" s="7" t="s">
        <v>308</v>
      </c>
      <c r="E134" s="10" t="s">
        <v>15</v>
      </c>
      <c r="F134" s="10" t="s">
        <v>90</v>
      </c>
      <c r="G134" s="10" t="s">
        <v>616</v>
      </c>
      <c r="H134" s="8">
        <v>2019</v>
      </c>
      <c r="I134" s="10" t="s">
        <v>17</v>
      </c>
      <c r="J134" s="12">
        <v>1619959</v>
      </c>
      <c r="K134" s="10" t="s">
        <v>27</v>
      </c>
      <c r="L134" s="10" t="s">
        <v>19</v>
      </c>
      <c r="M134" s="10" t="s">
        <v>29</v>
      </c>
      <c r="N134" s="8">
        <f t="shared" ca="1" si="2"/>
        <v>4</v>
      </c>
      <c r="O134" s="11" t="s">
        <v>631</v>
      </c>
    </row>
    <row r="135" spans="1:15" x14ac:dyDescent="0.35">
      <c r="A135" s="8">
        <v>133</v>
      </c>
      <c r="B135" s="9" t="s">
        <v>309</v>
      </c>
      <c r="C135" s="10" t="s">
        <v>62</v>
      </c>
      <c r="D135" s="7" t="s">
        <v>310</v>
      </c>
      <c r="E135" s="10" t="s">
        <v>48</v>
      </c>
      <c r="F135" s="10" t="s">
        <v>90</v>
      </c>
      <c r="G135" s="10" t="s">
        <v>611</v>
      </c>
      <c r="H135" s="8">
        <v>2021</v>
      </c>
      <c r="I135" s="10" t="s">
        <v>82</v>
      </c>
      <c r="J135" s="12">
        <v>1894154</v>
      </c>
      <c r="K135" s="10" t="s">
        <v>66</v>
      </c>
      <c r="L135" s="10" t="s">
        <v>19</v>
      </c>
      <c r="M135" s="10" t="s">
        <v>20</v>
      </c>
      <c r="N135" s="8">
        <f t="shared" ca="1" si="2"/>
        <v>8</v>
      </c>
      <c r="O135" s="11" t="s">
        <v>630</v>
      </c>
    </row>
    <row r="136" spans="1:15" x14ac:dyDescent="0.35">
      <c r="A136" s="8">
        <v>134</v>
      </c>
      <c r="B136" s="9" t="s">
        <v>311</v>
      </c>
      <c r="C136" s="10" t="s">
        <v>55</v>
      </c>
      <c r="D136" s="7" t="s">
        <v>312</v>
      </c>
      <c r="E136" s="10" t="s">
        <v>24</v>
      </c>
      <c r="F136" s="10" t="s">
        <v>25</v>
      </c>
      <c r="G136" s="10" t="s">
        <v>612</v>
      </c>
      <c r="H136" s="8">
        <v>2018</v>
      </c>
      <c r="I136" s="10" t="s">
        <v>97</v>
      </c>
      <c r="J136" s="12">
        <v>1433610</v>
      </c>
      <c r="K136" s="10" t="s">
        <v>27</v>
      </c>
      <c r="L136" s="10" t="s">
        <v>19</v>
      </c>
      <c r="M136" s="10" t="s">
        <v>41</v>
      </c>
      <c r="N136" s="8">
        <f t="shared" ca="1" si="2"/>
        <v>6</v>
      </c>
      <c r="O136" s="11" t="s">
        <v>633</v>
      </c>
    </row>
    <row r="137" spans="1:15" x14ac:dyDescent="0.35">
      <c r="A137" s="8">
        <v>135</v>
      </c>
      <c r="B137" s="9" t="s">
        <v>313</v>
      </c>
      <c r="C137" s="10" t="s">
        <v>13</v>
      </c>
      <c r="D137" s="7" t="s">
        <v>314</v>
      </c>
      <c r="E137" s="10" t="s">
        <v>33</v>
      </c>
      <c r="F137" s="10" t="s">
        <v>25</v>
      </c>
      <c r="G137" s="10" t="s">
        <v>613</v>
      </c>
      <c r="H137" s="8">
        <v>2018</v>
      </c>
      <c r="I137" s="10" t="s">
        <v>26</v>
      </c>
      <c r="J137" s="12">
        <v>641301</v>
      </c>
      <c r="K137" s="10" t="s">
        <v>18</v>
      </c>
      <c r="L137" s="10" t="s">
        <v>28</v>
      </c>
      <c r="M137" s="10" t="s">
        <v>49</v>
      </c>
      <c r="N137" s="8">
        <f t="shared" ca="1" si="2"/>
        <v>5</v>
      </c>
      <c r="O137" s="11" t="s">
        <v>631</v>
      </c>
    </row>
    <row r="138" spans="1:15" x14ac:dyDescent="0.35">
      <c r="A138" s="8">
        <v>136</v>
      </c>
      <c r="B138" s="9" t="s">
        <v>163</v>
      </c>
      <c r="C138" s="10" t="s">
        <v>77</v>
      </c>
      <c r="D138" s="7" t="s">
        <v>315</v>
      </c>
      <c r="E138" s="10" t="s">
        <v>24</v>
      </c>
      <c r="F138" s="10" t="s">
        <v>45</v>
      </c>
      <c r="G138" s="10" t="s">
        <v>614</v>
      </c>
      <c r="H138" s="8">
        <v>2016</v>
      </c>
      <c r="I138" s="10" t="s">
        <v>40</v>
      </c>
      <c r="J138" s="12">
        <v>1552190</v>
      </c>
      <c r="K138" s="10" t="s">
        <v>18</v>
      </c>
      <c r="L138" s="10" t="s">
        <v>28</v>
      </c>
      <c r="M138" s="10" t="s">
        <v>49</v>
      </c>
      <c r="N138" s="8">
        <f t="shared" ca="1" si="2"/>
        <v>5</v>
      </c>
      <c r="O138" s="11" t="s">
        <v>634</v>
      </c>
    </row>
    <row r="139" spans="1:15" x14ac:dyDescent="0.35">
      <c r="A139" s="8">
        <v>137</v>
      </c>
      <c r="B139" s="9" t="s">
        <v>316</v>
      </c>
      <c r="C139" s="10" t="s">
        <v>51</v>
      </c>
      <c r="D139" s="7" t="s">
        <v>317</v>
      </c>
      <c r="E139" s="10" t="s">
        <v>48</v>
      </c>
      <c r="F139" s="10" t="s">
        <v>39</v>
      </c>
      <c r="G139" s="10" t="s">
        <v>615</v>
      </c>
      <c r="H139" s="8">
        <v>2023</v>
      </c>
      <c r="I139" s="10" t="s">
        <v>57</v>
      </c>
      <c r="J139" s="12">
        <v>1216476</v>
      </c>
      <c r="K139" s="10" t="s">
        <v>27</v>
      </c>
      <c r="L139" s="10" t="s">
        <v>19</v>
      </c>
      <c r="M139" s="10" t="s">
        <v>29</v>
      </c>
      <c r="N139" s="8">
        <f t="shared" ca="1" si="2"/>
        <v>4</v>
      </c>
      <c r="O139" s="11" t="s">
        <v>634</v>
      </c>
    </row>
    <row r="140" spans="1:15" x14ac:dyDescent="0.35">
      <c r="A140" s="8">
        <v>138</v>
      </c>
      <c r="B140" s="9" t="s">
        <v>318</v>
      </c>
      <c r="C140" s="10" t="s">
        <v>62</v>
      </c>
      <c r="D140" s="7" t="s">
        <v>319</v>
      </c>
      <c r="E140" s="10" t="s">
        <v>24</v>
      </c>
      <c r="F140" s="10" t="s">
        <v>53</v>
      </c>
      <c r="G140" s="10" t="s">
        <v>616</v>
      </c>
      <c r="H140" s="8">
        <v>2024</v>
      </c>
      <c r="I140" s="10" t="s">
        <v>82</v>
      </c>
      <c r="J140" s="12">
        <v>1104606</v>
      </c>
      <c r="K140" s="10" t="s">
        <v>27</v>
      </c>
      <c r="L140" s="10" t="s">
        <v>19</v>
      </c>
      <c r="M140" s="10" t="s">
        <v>20</v>
      </c>
      <c r="N140" s="8">
        <f t="shared" ca="1" si="2"/>
        <v>9</v>
      </c>
      <c r="O140" s="11" t="s">
        <v>633</v>
      </c>
    </row>
    <row r="141" spans="1:15" x14ac:dyDescent="0.35">
      <c r="A141" s="8">
        <v>139</v>
      </c>
      <c r="B141" s="9" t="s">
        <v>320</v>
      </c>
      <c r="C141" s="10" t="s">
        <v>31</v>
      </c>
      <c r="D141" s="7" t="s">
        <v>321</v>
      </c>
      <c r="E141" s="10" t="s">
        <v>75</v>
      </c>
      <c r="F141" s="10" t="s">
        <v>39</v>
      </c>
      <c r="G141" s="10" t="s">
        <v>611</v>
      </c>
      <c r="H141" s="8">
        <v>2016</v>
      </c>
      <c r="I141" s="10" t="s">
        <v>17</v>
      </c>
      <c r="J141" s="12">
        <v>1654785</v>
      </c>
      <c r="K141" s="10" t="s">
        <v>18</v>
      </c>
      <c r="L141" s="10" t="s">
        <v>19</v>
      </c>
      <c r="M141" s="10" t="s">
        <v>41</v>
      </c>
      <c r="N141" s="8">
        <f t="shared" ca="1" si="2"/>
        <v>6</v>
      </c>
      <c r="O141" s="11" t="s">
        <v>633</v>
      </c>
    </row>
    <row r="142" spans="1:15" x14ac:dyDescent="0.35">
      <c r="A142" s="8">
        <v>140</v>
      </c>
      <c r="B142" s="9" t="s">
        <v>322</v>
      </c>
      <c r="C142" s="10" t="s">
        <v>43</v>
      </c>
      <c r="D142" s="7" t="s">
        <v>323</v>
      </c>
      <c r="E142" s="10" t="s">
        <v>75</v>
      </c>
      <c r="F142" s="10" t="s">
        <v>34</v>
      </c>
      <c r="G142" s="10" t="s">
        <v>612</v>
      </c>
      <c r="H142" s="8">
        <v>2018</v>
      </c>
      <c r="I142" s="10" t="s">
        <v>26</v>
      </c>
      <c r="J142" s="12">
        <v>1185246</v>
      </c>
      <c r="K142" s="10" t="s">
        <v>18</v>
      </c>
      <c r="L142" s="10" t="s">
        <v>19</v>
      </c>
      <c r="M142" s="10" t="s">
        <v>41</v>
      </c>
      <c r="N142" s="8">
        <f t="shared" ca="1" si="2"/>
        <v>7</v>
      </c>
      <c r="O142" s="11" t="s">
        <v>634</v>
      </c>
    </row>
    <row r="143" spans="1:15" x14ac:dyDescent="0.35">
      <c r="A143" s="8">
        <v>141</v>
      </c>
      <c r="B143" s="9" t="s">
        <v>324</v>
      </c>
      <c r="C143" s="10" t="s">
        <v>37</v>
      </c>
      <c r="D143" s="7" t="s">
        <v>325</v>
      </c>
      <c r="E143" s="10" t="s">
        <v>48</v>
      </c>
      <c r="F143" s="10" t="s">
        <v>39</v>
      </c>
      <c r="G143" s="10" t="s">
        <v>613</v>
      </c>
      <c r="H143" s="8">
        <v>2017</v>
      </c>
      <c r="I143" s="10" t="s">
        <v>40</v>
      </c>
      <c r="J143" s="12">
        <v>1307599</v>
      </c>
      <c r="K143" s="10" t="s">
        <v>18</v>
      </c>
      <c r="L143" s="10" t="s">
        <v>28</v>
      </c>
      <c r="M143" s="10" t="s">
        <v>49</v>
      </c>
      <c r="N143" s="8">
        <f t="shared" ca="1" si="2"/>
        <v>8</v>
      </c>
      <c r="O143" s="11" t="s">
        <v>634</v>
      </c>
    </row>
    <row r="144" spans="1:15" x14ac:dyDescent="0.35">
      <c r="A144" s="8">
        <v>142</v>
      </c>
      <c r="B144" s="9" t="s">
        <v>326</v>
      </c>
      <c r="C144" s="10" t="s">
        <v>43</v>
      </c>
      <c r="D144" s="7" t="s">
        <v>327</v>
      </c>
      <c r="E144" s="10" t="s">
        <v>48</v>
      </c>
      <c r="F144" s="10" t="s">
        <v>87</v>
      </c>
      <c r="G144" s="10" t="s">
        <v>614</v>
      </c>
      <c r="H144" s="8">
        <v>2016</v>
      </c>
      <c r="I144" s="10" t="s">
        <v>26</v>
      </c>
      <c r="J144" s="12">
        <v>1371266</v>
      </c>
      <c r="K144" s="10" t="s">
        <v>66</v>
      </c>
      <c r="L144" s="10" t="s">
        <v>28</v>
      </c>
      <c r="M144" s="10" t="s">
        <v>41</v>
      </c>
      <c r="N144" s="8">
        <f t="shared" ca="1" si="2"/>
        <v>7</v>
      </c>
      <c r="O144" s="11" t="s">
        <v>633</v>
      </c>
    </row>
    <row r="145" spans="1:15" x14ac:dyDescent="0.35">
      <c r="A145" s="8">
        <v>143</v>
      </c>
      <c r="B145" s="9" t="s">
        <v>328</v>
      </c>
      <c r="C145" s="10" t="s">
        <v>80</v>
      </c>
      <c r="D145" s="7" t="s">
        <v>329</v>
      </c>
      <c r="E145" s="10" t="s">
        <v>75</v>
      </c>
      <c r="F145" s="10" t="s">
        <v>25</v>
      </c>
      <c r="G145" s="10" t="s">
        <v>615</v>
      </c>
      <c r="H145" s="8">
        <v>2016</v>
      </c>
      <c r="I145" s="10" t="s">
        <v>26</v>
      </c>
      <c r="J145" s="12">
        <v>756418</v>
      </c>
      <c r="K145" s="10" t="s">
        <v>66</v>
      </c>
      <c r="L145" s="10" t="s">
        <v>28</v>
      </c>
      <c r="M145" s="10" t="s">
        <v>20</v>
      </c>
      <c r="N145" s="8">
        <f t="shared" ca="1" si="2"/>
        <v>4</v>
      </c>
      <c r="O145" s="11" t="s">
        <v>630</v>
      </c>
    </row>
    <row r="146" spans="1:15" x14ac:dyDescent="0.35">
      <c r="A146" s="8">
        <v>144</v>
      </c>
      <c r="B146" s="9" t="s">
        <v>330</v>
      </c>
      <c r="C146" s="10" t="s">
        <v>55</v>
      </c>
      <c r="D146" s="7" t="s">
        <v>331</v>
      </c>
      <c r="E146" s="10" t="s">
        <v>24</v>
      </c>
      <c r="F146" s="10" t="s">
        <v>34</v>
      </c>
      <c r="G146" s="10" t="s">
        <v>616</v>
      </c>
      <c r="H146" s="8">
        <v>2020</v>
      </c>
      <c r="I146" s="10" t="s">
        <v>17</v>
      </c>
      <c r="J146" s="12">
        <v>314361</v>
      </c>
      <c r="K146" s="10" t="s">
        <v>27</v>
      </c>
      <c r="L146" s="10" t="s">
        <v>19</v>
      </c>
      <c r="M146" s="10" t="s">
        <v>49</v>
      </c>
      <c r="N146" s="8">
        <f t="shared" ca="1" si="2"/>
        <v>4</v>
      </c>
      <c r="O146" s="11" t="s">
        <v>631</v>
      </c>
    </row>
    <row r="147" spans="1:15" x14ac:dyDescent="0.35">
      <c r="A147" s="8">
        <v>145</v>
      </c>
      <c r="B147" s="9" t="s">
        <v>332</v>
      </c>
      <c r="C147" s="10" t="s">
        <v>31</v>
      </c>
      <c r="D147" s="7" t="s">
        <v>333</v>
      </c>
      <c r="E147" s="10" t="s">
        <v>33</v>
      </c>
      <c r="F147" s="10" t="s">
        <v>25</v>
      </c>
      <c r="G147" s="10" t="s">
        <v>611</v>
      </c>
      <c r="H147" s="8">
        <v>2020</v>
      </c>
      <c r="I147" s="10" t="s">
        <v>26</v>
      </c>
      <c r="J147" s="12">
        <v>1836695</v>
      </c>
      <c r="K147" s="10" t="s">
        <v>66</v>
      </c>
      <c r="L147" s="10" t="s">
        <v>19</v>
      </c>
      <c r="M147" s="10" t="s">
        <v>41</v>
      </c>
      <c r="N147" s="8">
        <f t="shared" ca="1" si="2"/>
        <v>4</v>
      </c>
      <c r="O147" s="11" t="s">
        <v>631</v>
      </c>
    </row>
    <row r="148" spans="1:15" x14ac:dyDescent="0.35">
      <c r="A148" s="8">
        <v>146</v>
      </c>
      <c r="B148" s="9" t="s">
        <v>334</v>
      </c>
      <c r="C148" s="10" t="s">
        <v>31</v>
      </c>
      <c r="D148" s="7" t="s">
        <v>335</v>
      </c>
      <c r="E148" s="10" t="s">
        <v>15</v>
      </c>
      <c r="F148" s="10" t="s">
        <v>16</v>
      </c>
      <c r="G148" s="10" t="s">
        <v>612</v>
      </c>
      <c r="H148" s="8">
        <v>2015</v>
      </c>
      <c r="I148" s="10" t="s">
        <v>40</v>
      </c>
      <c r="J148" s="12">
        <v>634994</v>
      </c>
      <c r="K148" s="10" t="s">
        <v>66</v>
      </c>
      <c r="L148" s="10" t="s">
        <v>19</v>
      </c>
      <c r="M148" s="10" t="s">
        <v>35</v>
      </c>
      <c r="N148" s="8">
        <f t="shared" ca="1" si="2"/>
        <v>4</v>
      </c>
      <c r="O148" s="11" t="s">
        <v>633</v>
      </c>
    </row>
    <row r="149" spans="1:15" x14ac:dyDescent="0.35">
      <c r="A149" s="8">
        <v>147</v>
      </c>
      <c r="B149" s="9" t="s">
        <v>336</v>
      </c>
      <c r="C149" s="10" t="s">
        <v>31</v>
      </c>
      <c r="D149" s="7" t="s">
        <v>337</v>
      </c>
      <c r="E149" s="10" t="s">
        <v>15</v>
      </c>
      <c r="F149" s="10" t="s">
        <v>106</v>
      </c>
      <c r="G149" s="10" t="s">
        <v>613</v>
      </c>
      <c r="H149" s="8">
        <v>2018</v>
      </c>
      <c r="I149" s="10" t="s">
        <v>97</v>
      </c>
      <c r="J149" s="12">
        <v>499425</v>
      </c>
      <c r="K149" s="10" t="s">
        <v>18</v>
      </c>
      <c r="L149" s="10" t="s">
        <v>19</v>
      </c>
      <c r="M149" s="10" t="s">
        <v>29</v>
      </c>
      <c r="N149" s="8">
        <f t="shared" ca="1" si="2"/>
        <v>9</v>
      </c>
      <c r="O149" s="11" t="s">
        <v>631</v>
      </c>
    </row>
    <row r="150" spans="1:15" x14ac:dyDescent="0.35">
      <c r="A150" s="8">
        <v>148</v>
      </c>
      <c r="B150" s="9" t="s">
        <v>240</v>
      </c>
      <c r="C150" s="10" t="s">
        <v>77</v>
      </c>
      <c r="D150" s="7" t="s">
        <v>338</v>
      </c>
      <c r="E150" s="10" t="s">
        <v>15</v>
      </c>
      <c r="F150" s="10" t="s">
        <v>16</v>
      </c>
      <c r="G150" s="10" t="s">
        <v>614</v>
      </c>
      <c r="H150" s="8">
        <v>2016</v>
      </c>
      <c r="I150" s="10" t="s">
        <v>57</v>
      </c>
      <c r="J150" s="12">
        <v>352226</v>
      </c>
      <c r="K150" s="10" t="s">
        <v>66</v>
      </c>
      <c r="L150" s="10" t="s">
        <v>28</v>
      </c>
      <c r="M150" s="10" t="s">
        <v>41</v>
      </c>
      <c r="N150" s="8">
        <f t="shared" ca="1" si="2"/>
        <v>6</v>
      </c>
      <c r="O150" s="11" t="s">
        <v>630</v>
      </c>
    </row>
    <row r="151" spans="1:15" x14ac:dyDescent="0.35">
      <c r="A151" s="8">
        <v>149</v>
      </c>
      <c r="B151" s="9" t="s">
        <v>339</v>
      </c>
      <c r="C151" s="10" t="s">
        <v>37</v>
      </c>
      <c r="D151" s="7" t="s">
        <v>340</v>
      </c>
      <c r="E151" s="10" t="s">
        <v>33</v>
      </c>
      <c r="F151" s="10" t="s">
        <v>53</v>
      </c>
      <c r="G151" s="10" t="s">
        <v>615</v>
      </c>
      <c r="H151" s="8">
        <v>2023</v>
      </c>
      <c r="I151" s="10" t="s">
        <v>57</v>
      </c>
      <c r="J151" s="12">
        <v>732084</v>
      </c>
      <c r="K151" s="10" t="s">
        <v>18</v>
      </c>
      <c r="L151" s="10" t="s">
        <v>28</v>
      </c>
      <c r="M151" s="10" t="s">
        <v>41</v>
      </c>
      <c r="N151" s="8">
        <f t="shared" ca="1" si="2"/>
        <v>5</v>
      </c>
      <c r="O151" s="11" t="s">
        <v>632</v>
      </c>
    </row>
    <row r="152" spans="1:15" x14ac:dyDescent="0.35">
      <c r="A152" s="8">
        <v>150</v>
      </c>
      <c r="B152" s="9" t="s">
        <v>341</v>
      </c>
      <c r="C152" s="10" t="s">
        <v>55</v>
      </c>
      <c r="D152" s="7" t="s">
        <v>342</v>
      </c>
      <c r="E152" s="10" t="s">
        <v>75</v>
      </c>
      <c r="F152" s="10" t="s">
        <v>45</v>
      </c>
      <c r="G152" s="10" t="s">
        <v>616</v>
      </c>
      <c r="H152" s="8">
        <v>2015</v>
      </c>
      <c r="I152" s="10" t="s">
        <v>57</v>
      </c>
      <c r="J152" s="12">
        <v>833060</v>
      </c>
      <c r="K152" s="10" t="s">
        <v>27</v>
      </c>
      <c r="L152" s="10" t="s">
        <v>28</v>
      </c>
      <c r="M152" s="10" t="s">
        <v>20</v>
      </c>
      <c r="N152" s="8">
        <f t="shared" ca="1" si="2"/>
        <v>10</v>
      </c>
      <c r="O152" s="11" t="s">
        <v>630</v>
      </c>
    </row>
    <row r="153" spans="1:15" x14ac:dyDescent="0.35">
      <c r="A153" s="8">
        <v>151</v>
      </c>
      <c r="B153" s="9" t="s">
        <v>343</v>
      </c>
      <c r="C153" s="10" t="s">
        <v>55</v>
      </c>
      <c r="D153" s="7" t="s">
        <v>344</v>
      </c>
      <c r="E153" s="10" t="s">
        <v>24</v>
      </c>
      <c r="F153" s="10" t="s">
        <v>87</v>
      </c>
      <c r="G153" s="10" t="s">
        <v>611</v>
      </c>
      <c r="H153" s="8">
        <v>2023</v>
      </c>
      <c r="I153" s="10" t="s">
        <v>40</v>
      </c>
      <c r="J153" s="12">
        <v>1433248</v>
      </c>
      <c r="K153" s="10" t="s">
        <v>27</v>
      </c>
      <c r="L153" s="10" t="s">
        <v>19</v>
      </c>
      <c r="M153" s="10" t="s">
        <v>20</v>
      </c>
      <c r="N153" s="8">
        <f t="shared" ca="1" si="2"/>
        <v>5</v>
      </c>
      <c r="O153" s="11" t="s">
        <v>634</v>
      </c>
    </row>
    <row r="154" spans="1:15" x14ac:dyDescent="0.35">
      <c r="A154" s="8">
        <v>152</v>
      </c>
      <c r="B154" s="9" t="s">
        <v>345</v>
      </c>
      <c r="C154" s="10" t="s">
        <v>55</v>
      </c>
      <c r="D154" s="7" t="s">
        <v>346</v>
      </c>
      <c r="E154" s="10" t="s">
        <v>15</v>
      </c>
      <c r="F154" s="10" t="s">
        <v>87</v>
      </c>
      <c r="G154" s="10" t="s">
        <v>612</v>
      </c>
      <c r="H154" s="8">
        <v>2019</v>
      </c>
      <c r="I154" s="10" t="s">
        <v>97</v>
      </c>
      <c r="J154" s="12">
        <v>306127</v>
      </c>
      <c r="K154" s="10" t="s">
        <v>18</v>
      </c>
      <c r="L154" s="10" t="s">
        <v>28</v>
      </c>
      <c r="M154" s="10" t="s">
        <v>20</v>
      </c>
      <c r="N154" s="8">
        <f t="shared" ca="1" si="2"/>
        <v>10</v>
      </c>
      <c r="O154" s="11" t="s">
        <v>633</v>
      </c>
    </row>
    <row r="155" spans="1:15" x14ac:dyDescent="0.35">
      <c r="A155" s="8">
        <v>153</v>
      </c>
      <c r="B155" s="9" t="s">
        <v>347</v>
      </c>
      <c r="C155" s="10" t="s">
        <v>77</v>
      </c>
      <c r="D155" s="7" t="s">
        <v>348</v>
      </c>
      <c r="E155" s="10" t="s">
        <v>24</v>
      </c>
      <c r="F155" s="10" t="s">
        <v>39</v>
      </c>
      <c r="G155" s="10" t="s">
        <v>613</v>
      </c>
      <c r="H155" s="8">
        <v>2022</v>
      </c>
      <c r="I155" s="10" t="s">
        <v>17</v>
      </c>
      <c r="J155" s="12">
        <v>1488225</v>
      </c>
      <c r="K155" s="10" t="s">
        <v>66</v>
      </c>
      <c r="L155" s="10" t="s">
        <v>19</v>
      </c>
      <c r="M155" s="10" t="s">
        <v>20</v>
      </c>
      <c r="N155" s="8">
        <f t="shared" ca="1" si="2"/>
        <v>8</v>
      </c>
      <c r="O155" s="11" t="s">
        <v>632</v>
      </c>
    </row>
    <row r="156" spans="1:15" x14ac:dyDescent="0.35">
      <c r="A156" s="8">
        <v>154</v>
      </c>
      <c r="B156" s="9" t="s">
        <v>76</v>
      </c>
      <c r="C156" s="10" t="s">
        <v>55</v>
      </c>
      <c r="D156" s="7" t="s">
        <v>349</v>
      </c>
      <c r="E156" s="10" t="s">
        <v>24</v>
      </c>
      <c r="F156" s="10" t="s">
        <v>16</v>
      </c>
      <c r="G156" s="10" t="s">
        <v>614</v>
      </c>
      <c r="H156" s="8">
        <v>2017</v>
      </c>
      <c r="I156" s="10" t="s">
        <v>97</v>
      </c>
      <c r="J156" s="12">
        <v>458672</v>
      </c>
      <c r="K156" s="10" t="s">
        <v>27</v>
      </c>
      <c r="L156" s="10" t="s">
        <v>28</v>
      </c>
      <c r="M156" s="10" t="s">
        <v>41</v>
      </c>
      <c r="N156" s="8">
        <f t="shared" ca="1" si="2"/>
        <v>7</v>
      </c>
      <c r="O156" s="11" t="s">
        <v>630</v>
      </c>
    </row>
    <row r="157" spans="1:15" x14ac:dyDescent="0.35">
      <c r="A157" s="8">
        <v>155</v>
      </c>
      <c r="B157" s="9" t="s">
        <v>278</v>
      </c>
      <c r="C157" s="10" t="s">
        <v>31</v>
      </c>
      <c r="D157" s="7" t="s">
        <v>350</v>
      </c>
      <c r="E157" s="10" t="s">
        <v>24</v>
      </c>
      <c r="F157" s="10" t="s">
        <v>53</v>
      </c>
      <c r="G157" s="10" t="s">
        <v>615</v>
      </c>
      <c r="H157" s="8">
        <v>2018</v>
      </c>
      <c r="I157" s="10" t="s">
        <v>82</v>
      </c>
      <c r="J157" s="12">
        <v>916180</v>
      </c>
      <c r="K157" s="10" t="s">
        <v>27</v>
      </c>
      <c r="L157" s="10" t="s">
        <v>19</v>
      </c>
      <c r="M157" s="10" t="s">
        <v>41</v>
      </c>
      <c r="N157" s="8">
        <f t="shared" ca="1" si="2"/>
        <v>10</v>
      </c>
      <c r="O157" s="11" t="s">
        <v>634</v>
      </c>
    </row>
    <row r="158" spans="1:15" x14ac:dyDescent="0.35">
      <c r="A158" s="8">
        <v>156</v>
      </c>
      <c r="B158" s="9" t="s">
        <v>351</v>
      </c>
      <c r="C158" s="10" t="s">
        <v>55</v>
      </c>
      <c r="D158" s="7" t="s">
        <v>352</v>
      </c>
      <c r="E158" s="10" t="s">
        <v>24</v>
      </c>
      <c r="F158" s="10" t="s">
        <v>60</v>
      </c>
      <c r="G158" s="10" t="s">
        <v>616</v>
      </c>
      <c r="H158" s="8">
        <v>2015</v>
      </c>
      <c r="I158" s="10" t="s">
        <v>40</v>
      </c>
      <c r="J158" s="12">
        <v>519853</v>
      </c>
      <c r="K158" s="10" t="s">
        <v>18</v>
      </c>
      <c r="L158" s="10" t="s">
        <v>19</v>
      </c>
      <c r="M158" s="10" t="s">
        <v>29</v>
      </c>
      <c r="N158" s="8">
        <f t="shared" ca="1" si="2"/>
        <v>5</v>
      </c>
      <c r="O158" s="11" t="s">
        <v>634</v>
      </c>
    </row>
    <row r="159" spans="1:15" x14ac:dyDescent="0.35">
      <c r="A159" s="8">
        <v>157</v>
      </c>
      <c r="B159" s="9" t="s">
        <v>353</v>
      </c>
      <c r="C159" s="10" t="s">
        <v>13</v>
      </c>
      <c r="D159" s="7" t="s">
        <v>354</v>
      </c>
      <c r="E159" s="10" t="s">
        <v>75</v>
      </c>
      <c r="F159" s="10" t="s">
        <v>34</v>
      </c>
      <c r="G159" s="10" t="s">
        <v>611</v>
      </c>
      <c r="H159" s="8">
        <v>2015</v>
      </c>
      <c r="I159" s="10" t="s">
        <v>82</v>
      </c>
      <c r="J159" s="12">
        <v>612258</v>
      </c>
      <c r="K159" s="10" t="s">
        <v>18</v>
      </c>
      <c r="L159" s="10" t="s">
        <v>28</v>
      </c>
      <c r="M159" s="10" t="s">
        <v>49</v>
      </c>
      <c r="N159" s="8">
        <f t="shared" ca="1" si="2"/>
        <v>5</v>
      </c>
      <c r="O159" s="11" t="s">
        <v>630</v>
      </c>
    </row>
    <row r="160" spans="1:15" x14ac:dyDescent="0.35">
      <c r="A160" s="8">
        <v>158</v>
      </c>
      <c r="B160" s="9" t="s">
        <v>355</v>
      </c>
      <c r="C160" s="10" t="s">
        <v>37</v>
      </c>
      <c r="D160" s="7" t="s">
        <v>356</v>
      </c>
      <c r="E160" s="10" t="s">
        <v>24</v>
      </c>
      <c r="F160" s="10" t="s">
        <v>106</v>
      </c>
      <c r="G160" s="10" t="s">
        <v>612</v>
      </c>
      <c r="H160" s="8">
        <v>2024</v>
      </c>
      <c r="I160" s="10" t="s">
        <v>57</v>
      </c>
      <c r="J160" s="12">
        <v>1619938</v>
      </c>
      <c r="K160" s="10" t="s">
        <v>27</v>
      </c>
      <c r="L160" s="10" t="s">
        <v>28</v>
      </c>
      <c r="M160" s="10" t="s">
        <v>29</v>
      </c>
      <c r="N160" s="8">
        <f t="shared" ca="1" si="2"/>
        <v>7</v>
      </c>
      <c r="O160" s="11" t="s">
        <v>631</v>
      </c>
    </row>
    <row r="161" spans="1:15" x14ac:dyDescent="0.35">
      <c r="A161" s="8">
        <v>159</v>
      </c>
      <c r="B161" s="9" t="s">
        <v>357</v>
      </c>
      <c r="C161" s="10" t="s">
        <v>80</v>
      </c>
      <c r="D161" s="7" t="s">
        <v>358</v>
      </c>
      <c r="E161" s="10" t="s">
        <v>48</v>
      </c>
      <c r="F161" s="10" t="s">
        <v>34</v>
      </c>
      <c r="G161" s="10" t="s">
        <v>613</v>
      </c>
      <c r="H161" s="8">
        <v>2022</v>
      </c>
      <c r="I161" s="10" t="s">
        <v>17</v>
      </c>
      <c r="J161" s="12">
        <v>1385125</v>
      </c>
      <c r="K161" s="10" t="s">
        <v>66</v>
      </c>
      <c r="L161" s="10" t="s">
        <v>28</v>
      </c>
      <c r="M161" s="10" t="s">
        <v>41</v>
      </c>
      <c r="N161" s="8">
        <f t="shared" ca="1" si="2"/>
        <v>5</v>
      </c>
      <c r="O161" s="11" t="s">
        <v>630</v>
      </c>
    </row>
    <row r="162" spans="1:15" x14ac:dyDescent="0.35">
      <c r="A162" s="8">
        <v>160</v>
      </c>
      <c r="B162" s="9" t="s">
        <v>359</v>
      </c>
      <c r="C162" s="10" t="s">
        <v>22</v>
      </c>
      <c r="D162" s="7" t="s">
        <v>360</v>
      </c>
      <c r="E162" s="10" t="s">
        <v>24</v>
      </c>
      <c r="F162" s="10" t="s">
        <v>53</v>
      </c>
      <c r="G162" s="10" t="s">
        <v>614</v>
      </c>
      <c r="H162" s="8">
        <v>2018</v>
      </c>
      <c r="I162" s="10" t="s">
        <v>97</v>
      </c>
      <c r="J162" s="12">
        <v>1186944</v>
      </c>
      <c r="K162" s="10" t="s">
        <v>66</v>
      </c>
      <c r="L162" s="10" t="s">
        <v>28</v>
      </c>
      <c r="M162" s="10" t="s">
        <v>29</v>
      </c>
      <c r="N162" s="8">
        <f t="shared" ca="1" si="2"/>
        <v>9</v>
      </c>
      <c r="O162" s="11" t="s">
        <v>631</v>
      </c>
    </row>
    <row r="163" spans="1:15" x14ac:dyDescent="0.35">
      <c r="A163" s="8">
        <v>161</v>
      </c>
      <c r="B163" s="9" t="s">
        <v>361</v>
      </c>
      <c r="C163" s="10" t="s">
        <v>62</v>
      </c>
      <c r="D163" s="7" t="s">
        <v>362</v>
      </c>
      <c r="E163" s="10" t="s">
        <v>75</v>
      </c>
      <c r="F163" s="10" t="s">
        <v>39</v>
      </c>
      <c r="G163" s="10" t="s">
        <v>615</v>
      </c>
      <c r="H163" s="8">
        <v>2016</v>
      </c>
      <c r="I163" s="10" t="s">
        <v>26</v>
      </c>
      <c r="J163" s="12">
        <v>1388485</v>
      </c>
      <c r="K163" s="10" t="s">
        <v>66</v>
      </c>
      <c r="L163" s="10" t="s">
        <v>28</v>
      </c>
      <c r="M163" s="10" t="s">
        <v>49</v>
      </c>
      <c r="N163" s="8">
        <f t="shared" ca="1" si="2"/>
        <v>8</v>
      </c>
      <c r="O163" s="11" t="s">
        <v>630</v>
      </c>
    </row>
    <row r="164" spans="1:15" x14ac:dyDescent="0.35">
      <c r="A164" s="8">
        <v>162</v>
      </c>
      <c r="B164" s="9" t="s">
        <v>363</v>
      </c>
      <c r="C164" s="10" t="s">
        <v>80</v>
      </c>
      <c r="D164" s="7" t="s">
        <v>364</v>
      </c>
      <c r="E164" s="10" t="s">
        <v>24</v>
      </c>
      <c r="F164" s="10" t="s">
        <v>60</v>
      </c>
      <c r="G164" s="10" t="s">
        <v>616</v>
      </c>
      <c r="H164" s="8">
        <v>2020</v>
      </c>
      <c r="I164" s="10" t="s">
        <v>40</v>
      </c>
      <c r="J164" s="12">
        <v>460558</v>
      </c>
      <c r="K164" s="10" t="s">
        <v>18</v>
      </c>
      <c r="L164" s="10" t="s">
        <v>28</v>
      </c>
      <c r="M164" s="10" t="s">
        <v>29</v>
      </c>
      <c r="N164" s="8">
        <f t="shared" ca="1" si="2"/>
        <v>9</v>
      </c>
      <c r="O164" s="11" t="s">
        <v>630</v>
      </c>
    </row>
    <row r="165" spans="1:15" x14ac:dyDescent="0.35">
      <c r="A165" s="8">
        <v>163</v>
      </c>
      <c r="B165" s="9" t="s">
        <v>365</v>
      </c>
      <c r="C165" s="10" t="s">
        <v>51</v>
      </c>
      <c r="D165" s="7" t="s">
        <v>366</v>
      </c>
      <c r="E165" s="10" t="s">
        <v>75</v>
      </c>
      <c r="F165" s="10" t="s">
        <v>53</v>
      </c>
      <c r="G165" s="10" t="s">
        <v>611</v>
      </c>
      <c r="H165" s="8">
        <v>2015</v>
      </c>
      <c r="I165" s="10" t="s">
        <v>57</v>
      </c>
      <c r="J165" s="12">
        <v>1964615</v>
      </c>
      <c r="K165" s="10" t="s">
        <v>66</v>
      </c>
      <c r="L165" s="10" t="s">
        <v>19</v>
      </c>
      <c r="M165" s="10" t="s">
        <v>20</v>
      </c>
      <c r="N165" s="8">
        <f t="shared" ca="1" si="2"/>
        <v>4</v>
      </c>
      <c r="O165" s="11" t="s">
        <v>631</v>
      </c>
    </row>
    <row r="166" spans="1:15" x14ac:dyDescent="0.35">
      <c r="A166" s="8">
        <v>164</v>
      </c>
      <c r="B166" s="9" t="s">
        <v>367</v>
      </c>
      <c r="C166" s="10" t="s">
        <v>13</v>
      </c>
      <c r="D166" s="7" t="s">
        <v>368</v>
      </c>
      <c r="E166" s="10" t="s">
        <v>15</v>
      </c>
      <c r="F166" s="10" t="s">
        <v>39</v>
      </c>
      <c r="G166" s="10" t="s">
        <v>612</v>
      </c>
      <c r="H166" s="8">
        <v>2023</v>
      </c>
      <c r="I166" s="10" t="s">
        <v>40</v>
      </c>
      <c r="J166" s="12">
        <v>434626</v>
      </c>
      <c r="K166" s="10" t="s">
        <v>66</v>
      </c>
      <c r="L166" s="10" t="s">
        <v>28</v>
      </c>
      <c r="M166" s="10" t="s">
        <v>49</v>
      </c>
      <c r="N166" s="8">
        <f t="shared" ca="1" si="2"/>
        <v>4</v>
      </c>
      <c r="O166" s="11" t="s">
        <v>633</v>
      </c>
    </row>
    <row r="167" spans="1:15" x14ac:dyDescent="0.35">
      <c r="A167" s="8">
        <v>165</v>
      </c>
      <c r="B167" s="9" t="s">
        <v>369</v>
      </c>
      <c r="C167" s="10" t="s">
        <v>37</v>
      </c>
      <c r="D167" s="7" t="s">
        <v>370</v>
      </c>
      <c r="E167" s="10" t="s">
        <v>48</v>
      </c>
      <c r="F167" s="10" t="s">
        <v>53</v>
      </c>
      <c r="G167" s="10" t="s">
        <v>613</v>
      </c>
      <c r="H167" s="8">
        <v>2018</v>
      </c>
      <c r="I167" s="10" t="s">
        <v>57</v>
      </c>
      <c r="J167" s="12">
        <v>1954366</v>
      </c>
      <c r="K167" s="10" t="s">
        <v>18</v>
      </c>
      <c r="L167" s="10" t="s">
        <v>28</v>
      </c>
      <c r="M167" s="10" t="s">
        <v>41</v>
      </c>
      <c r="N167" s="8">
        <f t="shared" ca="1" si="2"/>
        <v>6</v>
      </c>
      <c r="O167" s="11" t="s">
        <v>634</v>
      </c>
    </row>
    <row r="168" spans="1:15" x14ac:dyDescent="0.35">
      <c r="A168" s="8">
        <v>166</v>
      </c>
      <c r="B168" s="9" t="s">
        <v>371</v>
      </c>
      <c r="C168" s="10" t="s">
        <v>13</v>
      </c>
      <c r="D168" s="7" t="s">
        <v>372</v>
      </c>
      <c r="E168" s="10" t="s">
        <v>24</v>
      </c>
      <c r="F168" s="10" t="s">
        <v>25</v>
      </c>
      <c r="G168" s="10" t="s">
        <v>614</v>
      </c>
      <c r="H168" s="8">
        <v>2021</v>
      </c>
      <c r="I168" s="10" t="s">
        <v>26</v>
      </c>
      <c r="J168" s="12">
        <v>556910</v>
      </c>
      <c r="K168" s="10" t="s">
        <v>27</v>
      </c>
      <c r="L168" s="10" t="s">
        <v>28</v>
      </c>
      <c r="M168" s="10" t="s">
        <v>41</v>
      </c>
      <c r="N168" s="8">
        <f t="shared" ca="1" si="2"/>
        <v>9</v>
      </c>
      <c r="O168" s="11" t="s">
        <v>631</v>
      </c>
    </row>
    <row r="169" spans="1:15" x14ac:dyDescent="0.35">
      <c r="A169" s="8">
        <v>167</v>
      </c>
      <c r="B169" s="9" t="s">
        <v>373</v>
      </c>
      <c r="C169" s="10" t="s">
        <v>77</v>
      </c>
      <c r="D169" s="7" t="s">
        <v>374</v>
      </c>
      <c r="E169" s="10" t="s">
        <v>48</v>
      </c>
      <c r="F169" s="10" t="s">
        <v>25</v>
      </c>
      <c r="G169" s="10" t="s">
        <v>615</v>
      </c>
      <c r="H169" s="8">
        <v>2021</v>
      </c>
      <c r="I169" s="10" t="s">
        <v>82</v>
      </c>
      <c r="J169" s="12">
        <v>1507278</v>
      </c>
      <c r="K169" s="10" t="s">
        <v>27</v>
      </c>
      <c r="L169" s="10" t="s">
        <v>19</v>
      </c>
      <c r="M169" s="10" t="s">
        <v>20</v>
      </c>
      <c r="N169" s="8">
        <f t="shared" ca="1" si="2"/>
        <v>4</v>
      </c>
      <c r="O169" s="11" t="s">
        <v>632</v>
      </c>
    </row>
    <row r="170" spans="1:15" x14ac:dyDescent="0.35">
      <c r="A170" s="8">
        <v>168</v>
      </c>
      <c r="B170" s="9" t="s">
        <v>375</v>
      </c>
      <c r="C170" s="10" t="s">
        <v>13</v>
      </c>
      <c r="D170" s="7" t="s">
        <v>376</v>
      </c>
      <c r="E170" s="10" t="s">
        <v>48</v>
      </c>
      <c r="F170" s="10" t="s">
        <v>53</v>
      </c>
      <c r="G170" s="10" t="s">
        <v>616</v>
      </c>
      <c r="H170" s="8">
        <v>2017</v>
      </c>
      <c r="I170" s="10" t="s">
        <v>26</v>
      </c>
      <c r="J170" s="12">
        <v>1181976</v>
      </c>
      <c r="K170" s="10" t="s">
        <v>66</v>
      </c>
      <c r="L170" s="10" t="s">
        <v>19</v>
      </c>
      <c r="M170" s="10" t="s">
        <v>29</v>
      </c>
      <c r="N170" s="8">
        <f t="shared" ca="1" si="2"/>
        <v>10</v>
      </c>
      <c r="O170" s="11" t="s">
        <v>631</v>
      </c>
    </row>
    <row r="171" spans="1:15" x14ac:dyDescent="0.35">
      <c r="A171" s="8">
        <v>169</v>
      </c>
      <c r="B171" s="9" t="s">
        <v>377</v>
      </c>
      <c r="C171" s="10" t="s">
        <v>77</v>
      </c>
      <c r="D171" s="7" t="s">
        <v>378</v>
      </c>
      <c r="E171" s="10" t="s">
        <v>75</v>
      </c>
      <c r="F171" s="10" t="s">
        <v>16</v>
      </c>
      <c r="G171" s="10" t="s">
        <v>611</v>
      </c>
      <c r="H171" s="8">
        <v>2020</v>
      </c>
      <c r="I171" s="10" t="s">
        <v>82</v>
      </c>
      <c r="J171" s="12">
        <v>731281</v>
      </c>
      <c r="K171" s="10" t="s">
        <v>18</v>
      </c>
      <c r="L171" s="10" t="s">
        <v>19</v>
      </c>
      <c r="M171" s="10" t="s">
        <v>29</v>
      </c>
      <c r="N171" s="8">
        <f t="shared" ca="1" si="2"/>
        <v>9</v>
      </c>
      <c r="O171" s="11" t="s">
        <v>634</v>
      </c>
    </row>
    <row r="172" spans="1:15" x14ac:dyDescent="0.35">
      <c r="A172" s="8">
        <v>170</v>
      </c>
      <c r="B172" s="9" t="s">
        <v>379</v>
      </c>
      <c r="C172" s="10" t="s">
        <v>37</v>
      </c>
      <c r="D172" s="7" t="s">
        <v>380</v>
      </c>
      <c r="E172" s="10" t="s">
        <v>24</v>
      </c>
      <c r="F172" s="10" t="s">
        <v>106</v>
      </c>
      <c r="G172" s="10" t="s">
        <v>612</v>
      </c>
      <c r="H172" s="8">
        <v>2019</v>
      </c>
      <c r="I172" s="10" t="s">
        <v>82</v>
      </c>
      <c r="J172" s="12">
        <v>868670</v>
      </c>
      <c r="K172" s="10" t="s">
        <v>27</v>
      </c>
      <c r="L172" s="10" t="s">
        <v>28</v>
      </c>
      <c r="M172" s="10" t="s">
        <v>29</v>
      </c>
      <c r="N172" s="8">
        <f t="shared" ca="1" si="2"/>
        <v>8</v>
      </c>
      <c r="O172" s="11" t="s">
        <v>634</v>
      </c>
    </row>
    <row r="173" spans="1:15" x14ac:dyDescent="0.35">
      <c r="A173" s="8">
        <v>171</v>
      </c>
      <c r="B173" s="9" t="s">
        <v>381</v>
      </c>
      <c r="C173" s="10" t="s">
        <v>43</v>
      </c>
      <c r="D173" s="7" t="s">
        <v>382</v>
      </c>
      <c r="E173" s="10" t="s">
        <v>48</v>
      </c>
      <c r="F173" s="10" t="s">
        <v>45</v>
      </c>
      <c r="G173" s="10" t="s">
        <v>613</v>
      </c>
      <c r="H173" s="8">
        <v>2022</v>
      </c>
      <c r="I173" s="10" t="s">
        <v>57</v>
      </c>
      <c r="J173" s="12">
        <v>1981311</v>
      </c>
      <c r="K173" s="10" t="s">
        <v>66</v>
      </c>
      <c r="L173" s="10" t="s">
        <v>28</v>
      </c>
      <c r="M173" s="10" t="s">
        <v>35</v>
      </c>
      <c r="N173" s="8">
        <f t="shared" ca="1" si="2"/>
        <v>10</v>
      </c>
      <c r="O173" s="11" t="s">
        <v>632</v>
      </c>
    </row>
    <row r="174" spans="1:15" x14ac:dyDescent="0.35">
      <c r="A174" s="8">
        <v>172</v>
      </c>
      <c r="B174" s="9" t="s">
        <v>383</v>
      </c>
      <c r="C174" s="10" t="s">
        <v>13</v>
      </c>
      <c r="D174" s="7" t="s">
        <v>384</v>
      </c>
      <c r="E174" s="10" t="s">
        <v>24</v>
      </c>
      <c r="F174" s="10" t="s">
        <v>60</v>
      </c>
      <c r="G174" s="10" t="s">
        <v>614</v>
      </c>
      <c r="H174" s="8">
        <v>2019</v>
      </c>
      <c r="I174" s="10" t="s">
        <v>17</v>
      </c>
      <c r="J174" s="12">
        <v>1910623</v>
      </c>
      <c r="K174" s="10" t="s">
        <v>66</v>
      </c>
      <c r="L174" s="10" t="s">
        <v>19</v>
      </c>
      <c r="M174" s="10" t="s">
        <v>41</v>
      </c>
      <c r="N174" s="8">
        <f t="shared" ca="1" si="2"/>
        <v>8</v>
      </c>
      <c r="O174" s="11" t="s">
        <v>632</v>
      </c>
    </row>
    <row r="175" spans="1:15" x14ac:dyDescent="0.35">
      <c r="A175" s="8">
        <v>173</v>
      </c>
      <c r="B175" s="9" t="s">
        <v>385</v>
      </c>
      <c r="C175" s="10" t="s">
        <v>22</v>
      </c>
      <c r="D175" s="7" t="s">
        <v>386</v>
      </c>
      <c r="E175" s="10" t="s">
        <v>24</v>
      </c>
      <c r="F175" s="10" t="s">
        <v>16</v>
      </c>
      <c r="G175" s="10" t="s">
        <v>615</v>
      </c>
      <c r="H175" s="8">
        <v>2015</v>
      </c>
      <c r="I175" s="10" t="s">
        <v>26</v>
      </c>
      <c r="J175" s="12">
        <v>1938082</v>
      </c>
      <c r="K175" s="10" t="s">
        <v>18</v>
      </c>
      <c r="L175" s="10" t="s">
        <v>28</v>
      </c>
      <c r="M175" s="10" t="s">
        <v>49</v>
      </c>
      <c r="N175" s="8">
        <f t="shared" ca="1" si="2"/>
        <v>9</v>
      </c>
      <c r="O175" s="11" t="s">
        <v>633</v>
      </c>
    </row>
    <row r="176" spans="1:15" x14ac:dyDescent="0.35">
      <c r="A176" s="8">
        <v>174</v>
      </c>
      <c r="B176" s="9" t="s">
        <v>200</v>
      </c>
      <c r="C176" s="10" t="s">
        <v>43</v>
      </c>
      <c r="D176" s="7" t="s">
        <v>387</v>
      </c>
      <c r="E176" s="10" t="s">
        <v>48</v>
      </c>
      <c r="F176" s="10" t="s">
        <v>39</v>
      </c>
      <c r="G176" s="10" t="s">
        <v>616</v>
      </c>
      <c r="H176" s="8">
        <v>2016</v>
      </c>
      <c r="I176" s="10" t="s">
        <v>40</v>
      </c>
      <c r="J176" s="12">
        <v>518282</v>
      </c>
      <c r="K176" s="10" t="s">
        <v>27</v>
      </c>
      <c r="L176" s="10" t="s">
        <v>19</v>
      </c>
      <c r="M176" s="10" t="s">
        <v>49</v>
      </c>
      <c r="N176" s="8">
        <f t="shared" ca="1" si="2"/>
        <v>6</v>
      </c>
      <c r="O176" s="11" t="s">
        <v>634</v>
      </c>
    </row>
    <row r="177" spans="1:15" x14ac:dyDescent="0.35">
      <c r="A177" s="8">
        <v>175</v>
      </c>
      <c r="B177" s="9" t="s">
        <v>388</v>
      </c>
      <c r="C177" s="10" t="s">
        <v>22</v>
      </c>
      <c r="D177" s="7" t="s">
        <v>389</v>
      </c>
      <c r="E177" s="10" t="s">
        <v>75</v>
      </c>
      <c r="F177" s="10" t="s">
        <v>90</v>
      </c>
      <c r="G177" s="10" t="s">
        <v>611</v>
      </c>
      <c r="H177" s="8">
        <v>2019</v>
      </c>
      <c r="I177" s="10" t="s">
        <v>82</v>
      </c>
      <c r="J177" s="12">
        <v>366651</v>
      </c>
      <c r="K177" s="10" t="s">
        <v>27</v>
      </c>
      <c r="L177" s="10" t="s">
        <v>19</v>
      </c>
      <c r="M177" s="10" t="s">
        <v>35</v>
      </c>
      <c r="N177" s="8">
        <f t="shared" ca="1" si="2"/>
        <v>7</v>
      </c>
      <c r="O177" s="11" t="s">
        <v>631</v>
      </c>
    </row>
    <row r="178" spans="1:15" x14ac:dyDescent="0.35">
      <c r="A178" s="8">
        <v>176</v>
      </c>
      <c r="B178" s="9" t="s">
        <v>390</v>
      </c>
      <c r="C178" s="10" t="s">
        <v>55</v>
      </c>
      <c r="D178" s="7" t="s">
        <v>391</v>
      </c>
      <c r="E178" s="10" t="s">
        <v>75</v>
      </c>
      <c r="F178" s="10" t="s">
        <v>87</v>
      </c>
      <c r="G178" s="10" t="s">
        <v>612</v>
      </c>
      <c r="H178" s="8">
        <v>2017</v>
      </c>
      <c r="I178" s="10" t="s">
        <v>40</v>
      </c>
      <c r="J178" s="12">
        <v>1390773</v>
      </c>
      <c r="K178" s="10" t="s">
        <v>27</v>
      </c>
      <c r="L178" s="10" t="s">
        <v>19</v>
      </c>
      <c r="M178" s="10" t="s">
        <v>35</v>
      </c>
      <c r="N178" s="8">
        <f t="shared" ca="1" si="2"/>
        <v>8</v>
      </c>
      <c r="O178" s="11" t="s">
        <v>632</v>
      </c>
    </row>
    <row r="179" spans="1:15" x14ac:dyDescent="0.35">
      <c r="A179" s="8">
        <v>177</v>
      </c>
      <c r="B179" s="9" t="s">
        <v>392</v>
      </c>
      <c r="C179" s="10" t="s">
        <v>43</v>
      </c>
      <c r="D179" s="7" t="s">
        <v>393</v>
      </c>
      <c r="E179" s="10" t="s">
        <v>24</v>
      </c>
      <c r="F179" s="10" t="s">
        <v>39</v>
      </c>
      <c r="G179" s="10" t="s">
        <v>613</v>
      </c>
      <c r="H179" s="8">
        <v>2021</v>
      </c>
      <c r="I179" s="10" t="s">
        <v>97</v>
      </c>
      <c r="J179" s="12">
        <v>1766966</v>
      </c>
      <c r="K179" s="10" t="s">
        <v>66</v>
      </c>
      <c r="L179" s="10" t="s">
        <v>19</v>
      </c>
      <c r="M179" s="10" t="s">
        <v>35</v>
      </c>
      <c r="N179" s="8">
        <f t="shared" ca="1" si="2"/>
        <v>5</v>
      </c>
      <c r="O179" s="11" t="s">
        <v>630</v>
      </c>
    </row>
    <row r="180" spans="1:15" x14ac:dyDescent="0.35">
      <c r="A180" s="8">
        <v>178</v>
      </c>
      <c r="B180" s="9" t="s">
        <v>394</v>
      </c>
      <c r="C180" s="10" t="s">
        <v>80</v>
      </c>
      <c r="D180" s="7" t="s">
        <v>395</v>
      </c>
      <c r="E180" s="10" t="s">
        <v>48</v>
      </c>
      <c r="F180" s="10" t="s">
        <v>16</v>
      </c>
      <c r="G180" s="10" t="s">
        <v>614</v>
      </c>
      <c r="H180" s="8">
        <v>2023</v>
      </c>
      <c r="I180" s="10" t="s">
        <v>40</v>
      </c>
      <c r="J180" s="12">
        <v>905410</v>
      </c>
      <c r="K180" s="10" t="s">
        <v>66</v>
      </c>
      <c r="L180" s="10" t="s">
        <v>19</v>
      </c>
      <c r="M180" s="10" t="s">
        <v>35</v>
      </c>
      <c r="N180" s="8">
        <f t="shared" ca="1" si="2"/>
        <v>4</v>
      </c>
      <c r="O180" s="11" t="s">
        <v>630</v>
      </c>
    </row>
    <row r="181" spans="1:15" x14ac:dyDescent="0.35">
      <c r="A181" s="8">
        <v>179</v>
      </c>
      <c r="B181" s="9" t="s">
        <v>396</v>
      </c>
      <c r="C181" s="10" t="s">
        <v>77</v>
      </c>
      <c r="D181" s="7" t="s">
        <v>397</v>
      </c>
      <c r="E181" s="10" t="s">
        <v>33</v>
      </c>
      <c r="F181" s="10" t="s">
        <v>45</v>
      </c>
      <c r="G181" s="10" t="s">
        <v>615</v>
      </c>
      <c r="H181" s="8">
        <v>2017</v>
      </c>
      <c r="I181" s="10" t="s">
        <v>26</v>
      </c>
      <c r="J181" s="12">
        <v>1918560</v>
      </c>
      <c r="K181" s="10" t="s">
        <v>27</v>
      </c>
      <c r="L181" s="10" t="s">
        <v>28</v>
      </c>
      <c r="M181" s="10" t="s">
        <v>29</v>
      </c>
      <c r="N181" s="8">
        <f t="shared" ca="1" si="2"/>
        <v>10</v>
      </c>
      <c r="O181" s="11" t="s">
        <v>631</v>
      </c>
    </row>
    <row r="182" spans="1:15" x14ac:dyDescent="0.35">
      <c r="A182" s="8">
        <v>180</v>
      </c>
      <c r="B182" s="9" t="s">
        <v>343</v>
      </c>
      <c r="C182" s="10" t="s">
        <v>43</v>
      </c>
      <c r="D182" s="7" t="s">
        <v>398</v>
      </c>
      <c r="E182" s="10" t="s">
        <v>75</v>
      </c>
      <c r="F182" s="10" t="s">
        <v>53</v>
      </c>
      <c r="G182" s="10" t="s">
        <v>616</v>
      </c>
      <c r="H182" s="8">
        <v>2019</v>
      </c>
      <c r="I182" s="10" t="s">
        <v>17</v>
      </c>
      <c r="J182" s="12">
        <v>1204445</v>
      </c>
      <c r="K182" s="10" t="s">
        <v>66</v>
      </c>
      <c r="L182" s="10" t="s">
        <v>19</v>
      </c>
      <c r="M182" s="10" t="s">
        <v>29</v>
      </c>
      <c r="N182" s="8">
        <f t="shared" ca="1" si="2"/>
        <v>4</v>
      </c>
      <c r="O182" s="11" t="s">
        <v>632</v>
      </c>
    </row>
    <row r="183" spans="1:15" x14ac:dyDescent="0.35">
      <c r="A183" s="8">
        <v>181</v>
      </c>
      <c r="B183" s="9" t="s">
        <v>190</v>
      </c>
      <c r="C183" s="10" t="s">
        <v>31</v>
      </c>
      <c r="D183" s="7" t="s">
        <v>399</v>
      </c>
      <c r="E183" s="10" t="s">
        <v>15</v>
      </c>
      <c r="F183" s="10" t="s">
        <v>25</v>
      </c>
      <c r="G183" s="10" t="s">
        <v>611</v>
      </c>
      <c r="H183" s="8">
        <v>2020</v>
      </c>
      <c r="I183" s="10" t="s">
        <v>57</v>
      </c>
      <c r="J183" s="12">
        <v>512538</v>
      </c>
      <c r="K183" s="10" t="s">
        <v>66</v>
      </c>
      <c r="L183" s="10" t="s">
        <v>28</v>
      </c>
      <c r="M183" s="10" t="s">
        <v>49</v>
      </c>
      <c r="N183" s="8">
        <f t="shared" ca="1" si="2"/>
        <v>5</v>
      </c>
      <c r="O183" s="11" t="s">
        <v>633</v>
      </c>
    </row>
    <row r="184" spans="1:15" x14ac:dyDescent="0.35">
      <c r="A184" s="8">
        <v>182</v>
      </c>
      <c r="B184" s="9" t="s">
        <v>400</v>
      </c>
      <c r="C184" s="10" t="s">
        <v>51</v>
      </c>
      <c r="D184" s="7" t="s">
        <v>401</v>
      </c>
      <c r="E184" s="10" t="s">
        <v>24</v>
      </c>
      <c r="F184" s="10" t="s">
        <v>106</v>
      </c>
      <c r="G184" s="10" t="s">
        <v>612</v>
      </c>
      <c r="H184" s="8">
        <v>2020</v>
      </c>
      <c r="I184" s="10" t="s">
        <v>17</v>
      </c>
      <c r="J184" s="12">
        <v>523591</v>
      </c>
      <c r="K184" s="10" t="s">
        <v>66</v>
      </c>
      <c r="L184" s="10" t="s">
        <v>19</v>
      </c>
      <c r="M184" s="10" t="s">
        <v>29</v>
      </c>
      <c r="N184" s="8">
        <f t="shared" ca="1" si="2"/>
        <v>10</v>
      </c>
      <c r="O184" s="11" t="s">
        <v>631</v>
      </c>
    </row>
    <row r="185" spans="1:15" x14ac:dyDescent="0.35">
      <c r="A185" s="8">
        <v>183</v>
      </c>
      <c r="B185" s="9" t="s">
        <v>402</v>
      </c>
      <c r="C185" s="10" t="s">
        <v>37</v>
      </c>
      <c r="D185" s="7" t="s">
        <v>403</v>
      </c>
      <c r="E185" s="10" t="s">
        <v>24</v>
      </c>
      <c r="F185" s="10" t="s">
        <v>45</v>
      </c>
      <c r="G185" s="10" t="s">
        <v>613</v>
      </c>
      <c r="H185" s="8">
        <v>2024</v>
      </c>
      <c r="I185" s="10" t="s">
        <v>82</v>
      </c>
      <c r="J185" s="12">
        <v>1940536</v>
      </c>
      <c r="K185" s="10" t="s">
        <v>18</v>
      </c>
      <c r="L185" s="10" t="s">
        <v>28</v>
      </c>
      <c r="M185" s="10" t="s">
        <v>20</v>
      </c>
      <c r="N185" s="8">
        <f t="shared" ca="1" si="2"/>
        <v>9</v>
      </c>
      <c r="O185" s="11" t="s">
        <v>630</v>
      </c>
    </row>
    <row r="186" spans="1:15" x14ac:dyDescent="0.35">
      <c r="A186" s="8">
        <v>184</v>
      </c>
      <c r="B186" s="9" t="s">
        <v>404</v>
      </c>
      <c r="C186" s="10" t="s">
        <v>62</v>
      </c>
      <c r="D186" s="7" t="s">
        <v>405</v>
      </c>
      <c r="E186" s="10" t="s">
        <v>24</v>
      </c>
      <c r="F186" s="10" t="s">
        <v>106</v>
      </c>
      <c r="G186" s="10" t="s">
        <v>614</v>
      </c>
      <c r="H186" s="8">
        <v>2022</v>
      </c>
      <c r="I186" s="10" t="s">
        <v>17</v>
      </c>
      <c r="J186" s="12">
        <v>990121</v>
      </c>
      <c r="K186" s="10" t="s">
        <v>27</v>
      </c>
      <c r="L186" s="10" t="s">
        <v>28</v>
      </c>
      <c r="M186" s="10" t="s">
        <v>35</v>
      </c>
      <c r="N186" s="8">
        <f t="shared" ca="1" si="2"/>
        <v>4</v>
      </c>
      <c r="O186" s="11" t="s">
        <v>632</v>
      </c>
    </row>
    <row r="187" spans="1:15" x14ac:dyDescent="0.35">
      <c r="A187" s="8">
        <v>185</v>
      </c>
      <c r="B187" s="9" t="s">
        <v>406</v>
      </c>
      <c r="C187" s="10" t="s">
        <v>51</v>
      </c>
      <c r="D187" s="7" t="s">
        <v>407</v>
      </c>
      <c r="E187" s="10" t="s">
        <v>24</v>
      </c>
      <c r="F187" s="10" t="s">
        <v>87</v>
      </c>
      <c r="G187" s="10" t="s">
        <v>615</v>
      </c>
      <c r="H187" s="8">
        <v>2022</v>
      </c>
      <c r="I187" s="10" t="s">
        <v>40</v>
      </c>
      <c r="J187" s="12">
        <v>1068837</v>
      </c>
      <c r="K187" s="10" t="s">
        <v>66</v>
      </c>
      <c r="L187" s="10" t="s">
        <v>28</v>
      </c>
      <c r="M187" s="10" t="s">
        <v>29</v>
      </c>
      <c r="N187" s="8">
        <f t="shared" ca="1" si="2"/>
        <v>10</v>
      </c>
      <c r="O187" s="11" t="s">
        <v>632</v>
      </c>
    </row>
    <row r="188" spans="1:15" x14ac:dyDescent="0.35">
      <c r="A188" s="8">
        <v>186</v>
      </c>
      <c r="B188" s="9" t="s">
        <v>408</v>
      </c>
      <c r="C188" s="10" t="s">
        <v>62</v>
      </c>
      <c r="D188" s="7" t="s">
        <v>409</v>
      </c>
      <c r="E188" s="10" t="s">
        <v>75</v>
      </c>
      <c r="F188" s="10" t="s">
        <v>34</v>
      </c>
      <c r="G188" s="10" t="s">
        <v>616</v>
      </c>
      <c r="H188" s="8">
        <v>2020</v>
      </c>
      <c r="I188" s="10" t="s">
        <v>26</v>
      </c>
      <c r="J188" s="12">
        <v>1948448</v>
      </c>
      <c r="K188" s="10" t="s">
        <v>27</v>
      </c>
      <c r="L188" s="10" t="s">
        <v>28</v>
      </c>
      <c r="M188" s="10" t="s">
        <v>35</v>
      </c>
      <c r="N188" s="8">
        <f t="shared" ca="1" si="2"/>
        <v>5</v>
      </c>
      <c r="O188" s="11" t="s">
        <v>631</v>
      </c>
    </row>
    <row r="189" spans="1:15" x14ac:dyDescent="0.35">
      <c r="A189" s="8">
        <v>187</v>
      </c>
      <c r="B189" s="9" t="s">
        <v>208</v>
      </c>
      <c r="C189" s="10" t="s">
        <v>31</v>
      </c>
      <c r="D189" s="7" t="s">
        <v>410</v>
      </c>
      <c r="E189" s="10" t="s">
        <v>15</v>
      </c>
      <c r="F189" s="10" t="s">
        <v>45</v>
      </c>
      <c r="G189" s="10" t="s">
        <v>611</v>
      </c>
      <c r="H189" s="8">
        <v>2018</v>
      </c>
      <c r="I189" s="10" t="s">
        <v>40</v>
      </c>
      <c r="J189" s="12">
        <v>1138365</v>
      </c>
      <c r="K189" s="10" t="s">
        <v>27</v>
      </c>
      <c r="L189" s="10" t="s">
        <v>28</v>
      </c>
      <c r="M189" s="10" t="s">
        <v>41</v>
      </c>
      <c r="N189" s="8">
        <f t="shared" ca="1" si="2"/>
        <v>4</v>
      </c>
      <c r="O189" s="11" t="s">
        <v>634</v>
      </c>
    </row>
    <row r="190" spans="1:15" x14ac:dyDescent="0.35">
      <c r="A190" s="8">
        <v>188</v>
      </c>
      <c r="B190" s="9" t="s">
        <v>21</v>
      </c>
      <c r="C190" s="10" t="s">
        <v>80</v>
      </c>
      <c r="D190" s="7" t="s">
        <v>411</v>
      </c>
      <c r="E190" s="10" t="s">
        <v>48</v>
      </c>
      <c r="F190" s="10" t="s">
        <v>16</v>
      </c>
      <c r="G190" s="10" t="s">
        <v>612</v>
      </c>
      <c r="H190" s="8">
        <v>2019</v>
      </c>
      <c r="I190" s="10" t="s">
        <v>26</v>
      </c>
      <c r="J190" s="12">
        <v>1048185</v>
      </c>
      <c r="K190" s="10" t="s">
        <v>27</v>
      </c>
      <c r="L190" s="10" t="s">
        <v>19</v>
      </c>
      <c r="M190" s="10" t="s">
        <v>49</v>
      </c>
      <c r="N190" s="8">
        <f t="shared" ca="1" si="2"/>
        <v>4</v>
      </c>
      <c r="O190" s="11" t="s">
        <v>632</v>
      </c>
    </row>
    <row r="191" spans="1:15" x14ac:dyDescent="0.35">
      <c r="A191" s="8">
        <v>189</v>
      </c>
      <c r="B191" s="9" t="s">
        <v>412</v>
      </c>
      <c r="C191" s="10" t="s">
        <v>22</v>
      </c>
      <c r="D191" s="7" t="s">
        <v>413</v>
      </c>
      <c r="E191" s="10" t="s">
        <v>48</v>
      </c>
      <c r="F191" s="10" t="s">
        <v>16</v>
      </c>
      <c r="G191" s="10" t="s">
        <v>613</v>
      </c>
      <c r="H191" s="8">
        <v>2024</v>
      </c>
      <c r="I191" s="10" t="s">
        <v>26</v>
      </c>
      <c r="J191" s="12">
        <v>1219503</v>
      </c>
      <c r="K191" s="10" t="s">
        <v>66</v>
      </c>
      <c r="L191" s="10" t="s">
        <v>28</v>
      </c>
      <c r="M191" s="10" t="s">
        <v>41</v>
      </c>
      <c r="N191" s="8">
        <f t="shared" ca="1" si="2"/>
        <v>10</v>
      </c>
      <c r="O191" s="11" t="s">
        <v>634</v>
      </c>
    </row>
    <row r="192" spans="1:15" x14ac:dyDescent="0.35">
      <c r="A192" s="8">
        <v>190</v>
      </c>
      <c r="B192" s="9" t="s">
        <v>414</v>
      </c>
      <c r="C192" s="10" t="s">
        <v>77</v>
      </c>
      <c r="D192" s="7" t="s">
        <v>415</v>
      </c>
      <c r="E192" s="10" t="s">
        <v>24</v>
      </c>
      <c r="F192" s="10" t="s">
        <v>90</v>
      </c>
      <c r="G192" s="10" t="s">
        <v>614</v>
      </c>
      <c r="H192" s="8">
        <v>2020</v>
      </c>
      <c r="I192" s="10" t="s">
        <v>17</v>
      </c>
      <c r="J192" s="12">
        <v>1962280</v>
      </c>
      <c r="K192" s="10" t="s">
        <v>18</v>
      </c>
      <c r="L192" s="10" t="s">
        <v>28</v>
      </c>
      <c r="M192" s="10" t="s">
        <v>20</v>
      </c>
      <c r="N192" s="8">
        <f t="shared" ca="1" si="2"/>
        <v>6</v>
      </c>
      <c r="O192" s="11" t="s">
        <v>633</v>
      </c>
    </row>
    <row r="193" spans="1:15" x14ac:dyDescent="0.35">
      <c r="A193" s="8">
        <v>191</v>
      </c>
      <c r="B193" s="9" t="s">
        <v>416</v>
      </c>
      <c r="C193" s="10" t="s">
        <v>22</v>
      </c>
      <c r="D193" s="7" t="s">
        <v>417</v>
      </c>
      <c r="E193" s="10" t="s">
        <v>75</v>
      </c>
      <c r="F193" s="10" t="s">
        <v>25</v>
      </c>
      <c r="G193" s="10" t="s">
        <v>615</v>
      </c>
      <c r="H193" s="8">
        <v>2022</v>
      </c>
      <c r="I193" s="10" t="s">
        <v>57</v>
      </c>
      <c r="J193" s="12">
        <v>1712590</v>
      </c>
      <c r="K193" s="10" t="s">
        <v>66</v>
      </c>
      <c r="L193" s="10" t="s">
        <v>28</v>
      </c>
      <c r="M193" s="10" t="s">
        <v>41</v>
      </c>
      <c r="N193" s="8">
        <f t="shared" ca="1" si="2"/>
        <v>5</v>
      </c>
      <c r="O193" s="11" t="s">
        <v>633</v>
      </c>
    </row>
    <row r="194" spans="1:15" x14ac:dyDescent="0.35">
      <c r="A194" s="8">
        <v>192</v>
      </c>
      <c r="B194" s="9" t="s">
        <v>418</v>
      </c>
      <c r="C194" s="10" t="s">
        <v>51</v>
      </c>
      <c r="D194" s="7" t="s">
        <v>419</v>
      </c>
      <c r="E194" s="10" t="s">
        <v>15</v>
      </c>
      <c r="F194" s="10" t="s">
        <v>90</v>
      </c>
      <c r="G194" s="10" t="s">
        <v>616</v>
      </c>
      <c r="H194" s="8">
        <v>2021</v>
      </c>
      <c r="I194" s="10" t="s">
        <v>57</v>
      </c>
      <c r="J194" s="12">
        <v>818674</v>
      </c>
      <c r="K194" s="10" t="s">
        <v>18</v>
      </c>
      <c r="L194" s="10" t="s">
        <v>19</v>
      </c>
      <c r="M194" s="10" t="s">
        <v>41</v>
      </c>
      <c r="N194" s="8">
        <f t="shared" ca="1" si="2"/>
        <v>6</v>
      </c>
      <c r="O194" s="11" t="s">
        <v>630</v>
      </c>
    </row>
    <row r="195" spans="1:15" x14ac:dyDescent="0.35">
      <c r="A195" s="8">
        <v>193</v>
      </c>
      <c r="B195" s="9" t="s">
        <v>420</v>
      </c>
      <c r="C195" s="10" t="s">
        <v>13</v>
      </c>
      <c r="D195" s="7" t="s">
        <v>421</v>
      </c>
      <c r="E195" s="10" t="s">
        <v>48</v>
      </c>
      <c r="F195" s="10" t="s">
        <v>106</v>
      </c>
      <c r="G195" s="10" t="s">
        <v>611</v>
      </c>
      <c r="H195" s="8">
        <v>2017</v>
      </c>
      <c r="I195" s="10" t="s">
        <v>97</v>
      </c>
      <c r="J195" s="12">
        <v>1065141</v>
      </c>
      <c r="K195" s="10" t="s">
        <v>27</v>
      </c>
      <c r="L195" s="10" t="s">
        <v>28</v>
      </c>
      <c r="M195" s="10" t="s">
        <v>41</v>
      </c>
      <c r="N195" s="8">
        <f t="shared" ref="N195:N258" ca="1" si="3">RANDBETWEEN(4,10)</f>
        <v>8</v>
      </c>
      <c r="O195" s="11" t="s">
        <v>632</v>
      </c>
    </row>
    <row r="196" spans="1:15" x14ac:dyDescent="0.35">
      <c r="A196" s="8">
        <v>194</v>
      </c>
      <c r="B196" s="9" t="s">
        <v>422</v>
      </c>
      <c r="C196" s="10" t="s">
        <v>55</v>
      </c>
      <c r="D196" s="7" t="s">
        <v>423</v>
      </c>
      <c r="E196" s="10" t="s">
        <v>24</v>
      </c>
      <c r="F196" s="10" t="s">
        <v>106</v>
      </c>
      <c r="G196" s="10" t="s">
        <v>612</v>
      </c>
      <c r="H196" s="8">
        <v>2022</v>
      </c>
      <c r="I196" s="10" t="s">
        <v>26</v>
      </c>
      <c r="J196" s="12">
        <v>1574437</v>
      </c>
      <c r="K196" s="10" t="s">
        <v>18</v>
      </c>
      <c r="L196" s="10" t="s">
        <v>28</v>
      </c>
      <c r="M196" s="10" t="s">
        <v>41</v>
      </c>
      <c r="N196" s="8">
        <f t="shared" ca="1" si="3"/>
        <v>5</v>
      </c>
      <c r="O196" s="11" t="s">
        <v>633</v>
      </c>
    </row>
    <row r="197" spans="1:15" x14ac:dyDescent="0.35">
      <c r="A197" s="8">
        <v>195</v>
      </c>
      <c r="B197" s="9" t="s">
        <v>424</v>
      </c>
      <c r="C197" s="10" t="s">
        <v>62</v>
      </c>
      <c r="D197" s="7" t="s">
        <v>425</v>
      </c>
      <c r="E197" s="10" t="s">
        <v>15</v>
      </c>
      <c r="F197" s="10" t="s">
        <v>45</v>
      </c>
      <c r="G197" s="10" t="s">
        <v>613</v>
      </c>
      <c r="H197" s="8">
        <v>2023</v>
      </c>
      <c r="I197" s="10" t="s">
        <v>40</v>
      </c>
      <c r="J197" s="12">
        <v>402305</v>
      </c>
      <c r="K197" s="10" t="s">
        <v>66</v>
      </c>
      <c r="L197" s="10" t="s">
        <v>28</v>
      </c>
      <c r="M197" s="10" t="s">
        <v>20</v>
      </c>
      <c r="N197" s="8">
        <f t="shared" ca="1" si="3"/>
        <v>7</v>
      </c>
      <c r="O197" s="11" t="s">
        <v>630</v>
      </c>
    </row>
    <row r="198" spans="1:15" x14ac:dyDescent="0.35">
      <c r="A198" s="8">
        <v>196</v>
      </c>
      <c r="B198" s="9" t="s">
        <v>163</v>
      </c>
      <c r="C198" s="10" t="s">
        <v>80</v>
      </c>
      <c r="D198" s="7" t="s">
        <v>426</v>
      </c>
      <c r="E198" s="10" t="s">
        <v>15</v>
      </c>
      <c r="F198" s="10" t="s">
        <v>16</v>
      </c>
      <c r="G198" s="10" t="s">
        <v>614</v>
      </c>
      <c r="H198" s="8">
        <v>2021</v>
      </c>
      <c r="I198" s="10" t="s">
        <v>57</v>
      </c>
      <c r="J198" s="12">
        <v>348127</v>
      </c>
      <c r="K198" s="10" t="s">
        <v>27</v>
      </c>
      <c r="L198" s="10" t="s">
        <v>28</v>
      </c>
      <c r="M198" s="10" t="s">
        <v>41</v>
      </c>
      <c r="N198" s="8">
        <f t="shared" ca="1" si="3"/>
        <v>7</v>
      </c>
      <c r="O198" s="11" t="s">
        <v>631</v>
      </c>
    </row>
    <row r="199" spans="1:15" x14ac:dyDescent="0.35">
      <c r="A199" s="8">
        <v>197</v>
      </c>
      <c r="B199" s="9" t="s">
        <v>427</v>
      </c>
      <c r="C199" s="10" t="s">
        <v>43</v>
      </c>
      <c r="D199" s="7" t="s">
        <v>428</v>
      </c>
      <c r="E199" s="10" t="s">
        <v>15</v>
      </c>
      <c r="F199" s="10" t="s">
        <v>45</v>
      </c>
      <c r="G199" s="10" t="s">
        <v>615</v>
      </c>
      <c r="H199" s="8">
        <v>2023</v>
      </c>
      <c r="I199" s="10" t="s">
        <v>26</v>
      </c>
      <c r="J199" s="12">
        <v>639275</v>
      </c>
      <c r="K199" s="10" t="s">
        <v>18</v>
      </c>
      <c r="L199" s="10" t="s">
        <v>28</v>
      </c>
      <c r="M199" s="10" t="s">
        <v>35</v>
      </c>
      <c r="N199" s="8">
        <f t="shared" ca="1" si="3"/>
        <v>5</v>
      </c>
      <c r="O199" s="11" t="s">
        <v>631</v>
      </c>
    </row>
    <row r="200" spans="1:15" x14ac:dyDescent="0.35">
      <c r="A200" s="8">
        <v>198</v>
      </c>
      <c r="B200" s="9" t="s">
        <v>12</v>
      </c>
      <c r="C200" s="10" t="s">
        <v>22</v>
      </c>
      <c r="D200" s="7" t="s">
        <v>429</v>
      </c>
      <c r="E200" s="10" t="s">
        <v>48</v>
      </c>
      <c r="F200" s="10" t="s">
        <v>45</v>
      </c>
      <c r="G200" s="10" t="s">
        <v>616</v>
      </c>
      <c r="H200" s="8">
        <v>2024</v>
      </c>
      <c r="I200" s="10" t="s">
        <v>57</v>
      </c>
      <c r="J200" s="12">
        <v>984486</v>
      </c>
      <c r="K200" s="10" t="s">
        <v>27</v>
      </c>
      <c r="L200" s="10" t="s">
        <v>19</v>
      </c>
      <c r="M200" s="10" t="s">
        <v>29</v>
      </c>
      <c r="N200" s="8">
        <f t="shared" ca="1" si="3"/>
        <v>6</v>
      </c>
      <c r="O200" s="11" t="s">
        <v>630</v>
      </c>
    </row>
    <row r="201" spans="1:15" x14ac:dyDescent="0.35">
      <c r="A201" s="8">
        <v>199</v>
      </c>
      <c r="B201" s="9" t="s">
        <v>430</v>
      </c>
      <c r="C201" s="10" t="s">
        <v>55</v>
      </c>
      <c r="D201" s="7" t="s">
        <v>431</v>
      </c>
      <c r="E201" s="10" t="s">
        <v>48</v>
      </c>
      <c r="F201" s="10" t="s">
        <v>106</v>
      </c>
      <c r="G201" s="10" t="s">
        <v>611</v>
      </c>
      <c r="H201" s="8">
        <v>2015</v>
      </c>
      <c r="I201" s="10" t="s">
        <v>82</v>
      </c>
      <c r="J201" s="12">
        <v>1970862</v>
      </c>
      <c r="K201" s="10" t="s">
        <v>18</v>
      </c>
      <c r="L201" s="10" t="s">
        <v>19</v>
      </c>
      <c r="M201" s="10" t="s">
        <v>29</v>
      </c>
      <c r="N201" s="8">
        <f t="shared" ca="1" si="3"/>
        <v>6</v>
      </c>
      <c r="O201" s="11" t="s">
        <v>630</v>
      </c>
    </row>
    <row r="202" spans="1:15" x14ac:dyDescent="0.35">
      <c r="A202" s="8">
        <v>200</v>
      </c>
      <c r="B202" s="9" t="s">
        <v>361</v>
      </c>
      <c r="C202" s="10" t="s">
        <v>55</v>
      </c>
      <c r="D202" s="7" t="s">
        <v>432</v>
      </c>
      <c r="E202" s="10" t="s">
        <v>24</v>
      </c>
      <c r="F202" s="10" t="s">
        <v>45</v>
      </c>
      <c r="G202" s="10" t="s">
        <v>612</v>
      </c>
      <c r="H202" s="8">
        <v>2021</v>
      </c>
      <c r="I202" s="10" t="s">
        <v>57</v>
      </c>
      <c r="J202" s="12">
        <v>1013589</v>
      </c>
      <c r="K202" s="10" t="s">
        <v>18</v>
      </c>
      <c r="L202" s="10" t="s">
        <v>19</v>
      </c>
      <c r="M202" s="10" t="s">
        <v>35</v>
      </c>
      <c r="N202" s="8">
        <f t="shared" ca="1" si="3"/>
        <v>7</v>
      </c>
      <c r="O202" s="11" t="s">
        <v>631</v>
      </c>
    </row>
    <row r="203" spans="1:15" x14ac:dyDescent="0.35">
      <c r="A203" s="8">
        <v>201</v>
      </c>
      <c r="B203" s="9" t="s">
        <v>433</v>
      </c>
      <c r="C203" s="10" t="s">
        <v>37</v>
      </c>
      <c r="D203" s="7" t="s">
        <v>434</v>
      </c>
      <c r="E203" s="10" t="s">
        <v>48</v>
      </c>
      <c r="F203" s="10" t="s">
        <v>16</v>
      </c>
      <c r="G203" s="10" t="s">
        <v>613</v>
      </c>
      <c r="H203" s="8">
        <v>2018</v>
      </c>
      <c r="I203" s="10" t="s">
        <v>82</v>
      </c>
      <c r="J203" s="12">
        <v>1084679</v>
      </c>
      <c r="K203" s="10" t="s">
        <v>66</v>
      </c>
      <c r="L203" s="10" t="s">
        <v>19</v>
      </c>
      <c r="M203" s="10" t="s">
        <v>49</v>
      </c>
      <c r="N203" s="8">
        <f t="shared" ca="1" si="3"/>
        <v>5</v>
      </c>
      <c r="O203" s="11" t="s">
        <v>630</v>
      </c>
    </row>
    <row r="204" spans="1:15" x14ac:dyDescent="0.35">
      <c r="A204" s="8">
        <v>202</v>
      </c>
      <c r="B204" s="9" t="s">
        <v>435</v>
      </c>
      <c r="C204" s="10" t="s">
        <v>80</v>
      </c>
      <c r="D204" s="7" t="s">
        <v>436</v>
      </c>
      <c r="E204" s="10" t="s">
        <v>75</v>
      </c>
      <c r="F204" s="10" t="s">
        <v>90</v>
      </c>
      <c r="G204" s="10" t="s">
        <v>614</v>
      </c>
      <c r="H204" s="8">
        <v>2017</v>
      </c>
      <c r="I204" s="10" t="s">
        <v>57</v>
      </c>
      <c r="J204" s="12">
        <v>1163358</v>
      </c>
      <c r="K204" s="10" t="s">
        <v>18</v>
      </c>
      <c r="L204" s="10" t="s">
        <v>28</v>
      </c>
      <c r="M204" s="10" t="s">
        <v>49</v>
      </c>
      <c r="N204" s="8">
        <f t="shared" ca="1" si="3"/>
        <v>7</v>
      </c>
      <c r="O204" s="11" t="s">
        <v>633</v>
      </c>
    </row>
    <row r="205" spans="1:15" x14ac:dyDescent="0.35">
      <c r="A205" s="8">
        <v>203</v>
      </c>
      <c r="B205" s="9" t="s">
        <v>437</v>
      </c>
      <c r="C205" s="10" t="s">
        <v>43</v>
      </c>
      <c r="D205" s="7" t="s">
        <v>438</v>
      </c>
      <c r="E205" s="10" t="s">
        <v>75</v>
      </c>
      <c r="F205" s="10" t="s">
        <v>45</v>
      </c>
      <c r="G205" s="10" t="s">
        <v>615</v>
      </c>
      <c r="H205" s="8">
        <v>2023</v>
      </c>
      <c r="I205" s="10" t="s">
        <v>57</v>
      </c>
      <c r="J205" s="12">
        <v>1274080</v>
      </c>
      <c r="K205" s="10" t="s">
        <v>18</v>
      </c>
      <c r="L205" s="10" t="s">
        <v>19</v>
      </c>
      <c r="M205" s="10" t="s">
        <v>41</v>
      </c>
      <c r="N205" s="8">
        <f t="shared" ca="1" si="3"/>
        <v>7</v>
      </c>
      <c r="O205" s="11" t="s">
        <v>631</v>
      </c>
    </row>
    <row r="206" spans="1:15" x14ac:dyDescent="0.35">
      <c r="A206" s="8">
        <v>204</v>
      </c>
      <c r="B206" s="9" t="s">
        <v>439</v>
      </c>
      <c r="C206" s="10" t="s">
        <v>43</v>
      </c>
      <c r="D206" s="7" t="s">
        <v>440</v>
      </c>
      <c r="E206" s="10" t="s">
        <v>48</v>
      </c>
      <c r="F206" s="10" t="s">
        <v>25</v>
      </c>
      <c r="G206" s="10" t="s">
        <v>616</v>
      </c>
      <c r="H206" s="8">
        <v>2021</v>
      </c>
      <c r="I206" s="10" t="s">
        <v>97</v>
      </c>
      <c r="J206" s="12">
        <v>1659839</v>
      </c>
      <c r="K206" s="10" t="s">
        <v>18</v>
      </c>
      <c r="L206" s="10" t="s">
        <v>28</v>
      </c>
      <c r="M206" s="10" t="s">
        <v>49</v>
      </c>
      <c r="N206" s="8">
        <f t="shared" ca="1" si="3"/>
        <v>6</v>
      </c>
      <c r="O206" s="11" t="s">
        <v>633</v>
      </c>
    </row>
    <row r="207" spans="1:15" x14ac:dyDescent="0.35">
      <c r="A207" s="8">
        <v>205</v>
      </c>
      <c r="B207" s="9" t="s">
        <v>242</v>
      </c>
      <c r="C207" s="10" t="s">
        <v>13</v>
      </c>
      <c r="D207" s="7" t="s">
        <v>441</v>
      </c>
      <c r="E207" s="10" t="s">
        <v>48</v>
      </c>
      <c r="F207" s="10" t="s">
        <v>16</v>
      </c>
      <c r="G207" s="10" t="s">
        <v>611</v>
      </c>
      <c r="H207" s="8">
        <v>2017</v>
      </c>
      <c r="I207" s="10" t="s">
        <v>40</v>
      </c>
      <c r="J207" s="12">
        <v>1429223</v>
      </c>
      <c r="K207" s="10" t="s">
        <v>27</v>
      </c>
      <c r="L207" s="10" t="s">
        <v>19</v>
      </c>
      <c r="M207" s="10" t="s">
        <v>41</v>
      </c>
      <c r="N207" s="8">
        <f t="shared" ca="1" si="3"/>
        <v>5</v>
      </c>
      <c r="O207" s="11" t="s">
        <v>631</v>
      </c>
    </row>
    <row r="208" spans="1:15" x14ac:dyDescent="0.35">
      <c r="A208" s="8">
        <v>206</v>
      </c>
      <c r="B208" s="9" t="s">
        <v>442</v>
      </c>
      <c r="C208" s="10" t="s">
        <v>77</v>
      </c>
      <c r="D208" s="7" t="s">
        <v>443</v>
      </c>
      <c r="E208" s="10" t="s">
        <v>24</v>
      </c>
      <c r="F208" s="10" t="s">
        <v>45</v>
      </c>
      <c r="G208" s="10" t="s">
        <v>612</v>
      </c>
      <c r="H208" s="8">
        <v>2024</v>
      </c>
      <c r="I208" s="10" t="s">
        <v>57</v>
      </c>
      <c r="J208" s="12">
        <v>1165526</v>
      </c>
      <c r="K208" s="10" t="s">
        <v>66</v>
      </c>
      <c r="L208" s="10" t="s">
        <v>28</v>
      </c>
      <c r="M208" s="10" t="s">
        <v>20</v>
      </c>
      <c r="N208" s="8">
        <f t="shared" ca="1" si="3"/>
        <v>4</v>
      </c>
      <c r="O208" s="11" t="s">
        <v>633</v>
      </c>
    </row>
    <row r="209" spans="1:15" x14ac:dyDescent="0.35">
      <c r="A209" s="8">
        <v>207</v>
      </c>
      <c r="B209" s="9" t="s">
        <v>444</v>
      </c>
      <c r="C209" s="10" t="s">
        <v>55</v>
      </c>
      <c r="D209" s="7" t="s">
        <v>445</v>
      </c>
      <c r="E209" s="10" t="s">
        <v>33</v>
      </c>
      <c r="F209" s="10" t="s">
        <v>87</v>
      </c>
      <c r="G209" s="10" t="s">
        <v>613</v>
      </c>
      <c r="H209" s="8">
        <v>2015</v>
      </c>
      <c r="I209" s="10" t="s">
        <v>40</v>
      </c>
      <c r="J209" s="12">
        <v>916612</v>
      </c>
      <c r="K209" s="10" t="s">
        <v>66</v>
      </c>
      <c r="L209" s="10" t="s">
        <v>28</v>
      </c>
      <c r="M209" s="10" t="s">
        <v>20</v>
      </c>
      <c r="N209" s="8">
        <f t="shared" ca="1" si="3"/>
        <v>9</v>
      </c>
      <c r="O209" s="11" t="s">
        <v>634</v>
      </c>
    </row>
    <row r="210" spans="1:15" x14ac:dyDescent="0.35">
      <c r="A210" s="8">
        <v>208</v>
      </c>
      <c r="B210" s="9" t="s">
        <v>446</v>
      </c>
      <c r="C210" s="10" t="s">
        <v>13</v>
      </c>
      <c r="D210" s="7" t="s">
        <v>447</v>
      </c>
      <c r="E210" s="10" t="s">
        <v>48</v>
      </c>
      <c r="F210" s="10" t="s">
        <v>90</v>
      </c>
      <c r="G210" s="10" t="s">
        <v>614</v>
      </c>
      <c r="H210" s="8">
        <v>2024</v>
      </c>
      <c r="I210" s="10" t="s">
        <v>82</v>
      </c>
      <c r="J210" s="12">
        <v>874574</v>
      </c>
      <c r="K210" s="10" t="s">
        <v>27</v>
      </c>
      <c r="L210" s="10" t="s">
        <v>28</v>
      </c>
      <c r="M210" s="10" t="s">
        <v>41</v>
      </c>
      <c r="N210" s="8">
        <f t="shared" ca="1" si="3"/>
        <v>8</v>
      </c>
      <c r="O210" s="11" t="s">
        <v>633</v>
      </c>
    </row>
    <row r="211" spans="1:15" x14ac:dyDescent="0.35">
      <c r="A211" s="8">
        <v>209</v>
      </c>
      <c r="B211" s="9" t="s">
        <v>448</v>
      </c>
      <c r="C211" s="10" t="s">
        <v>80</v>
      </c>
      <c r="D211" s="7" t="s">
        <v>449</v>
      </c>
      <c r="E211" s="10" t="s">
        <v>24</v>
      </c>
      <c r="F211" s="10" t="s">
        <v>16</v>
      </c>
      <c r="G211" s="10" t="s">
        <v>615</v>
      </c>
      <c r="H211" s="8">
        <v>2024</v>
      </c>
      <c r="I211" s="10" t="s">
        <v>82</v>
      </c>
      <c r="J211" s="12">
        <v>920126</v>
      </c>
      <c r="K211" s="10" t="s">
        <v>27</v>
      </c>
      <c r="L211" s="10" t="s">
        <v>19</v>
      </c>
      <c r="M211" s="10" t="s">
        <v>41</v>
      </c>
      <c r="N211" s="8">
        <f t="shared" ca="1" si="3"/>
        <v>4</v>
      </c>
      <c r="O211" s="11" t="s">
        <v>633</v>
      </c>
    </row>
    <row r="212" spans="1:15" x14ac:dyDescent="0.35">
      <c r="A212" s="8">
        <v>210</v>
      </c>
      <c r="B212" s="9" t="s">
        <v>450</v>
      </c>
      <c r="C212" s="10" t="s">
        <v>55</v>
      </c>
      <c r="D212" s="7" t="s">
        <v>451</v>
      </c>
      <c r="E212" s="10" t="s">
        <v>48</v>
      </c>
      <c r="F212" s="10" t="s">
        <v>87</v>
      </c>
      <c r="G212" s="10" t="s">
        <v>616</v>
      </c>
      <c r="H212" s="8">
        <v>2021</v>
      </c>
      <c r="I212" s="10" t="s">
        <v>57</v>
      </c>
      <c r="J212" s="12">
        <v>1285124</v>
      </c>
      <c r="K212" s="10" t="s">
        <v>27</v>
      </c>
      <c r="L212" s="10" t="s">
        <v>28</v>
      </c>
      <c r="M212" s="10" t="s">
        <v>41</v>
      </c>
      <c r="N212" s="8">
        <f t="shared" ca="1" si="3"/>
        <v>7</v>
      </c>
      <c r="O212" s="11" t="s">
        <v>634</v>
      </c>
    </row>
    <row r="213" spans="1:15" x14ac:dyDescent="0.35">
      <c r="A213" s="8">
        <v>211</v>
      </c>
      <c r="B213" s="9" t="s">
        <v>147</v>
      </c>
      <c r="C213" s="10" t="s">
        <v>51</v>
      </c>
      <c r="D213" s="7" t="s">
        <v>452</v>
      </c>
      <c r="E213" s="10" t="s">
        <v>15</v>
      </c>
      <c r="F213" s="10" t="s">
        <v>106</v>
      </c>
      <c r="G213" s="10" t="s">
        <v>611</v>
      </c>
      <c r="H213" s="8">
        <v>2021</v>
      </c>
      <c r="I213" s="10" t="s">
        <v>82</v>
      </c>
      <c r="J213" s="12">
        <v>1707457</v>
      </c>
      <c r="K213" s="10" t="s">
        <v>66</v>
      </c>
      <c r="L213" s="10" t="s">
        <v>28</v>
      </c>
      <c r="M213" s="10" t="s">
        <v>29</v>
      </c>
      <c r="N213" s="8">
        <f t="shared" ca="1" si="3"/>
        <v>6</v>
      </c>
      <c r="O213" s="11" t="s">
        <v>634</v>
      </c>
    </row>
    <row r="214" spans="1:15" x14ac:dyDescent="0.35">
      <c r="A214" s="8">
        <v>212</v>
      </c>
      <c r="B214" s="9" t="s">
        <v>278</v>
      </c>
      <c r="C214" s="10" t="s">
        <v>55</v>
      </c>
      <c r="D214" s="7" t="s">
        <v>453</v>
      </c>
      <c r="E214" s="10" t="s">
        <v>48</v>
      </c>
      <c r="F214" s="10" t="s">
        <v>90</v>
      </c>
      <c r="G214" s="10" t="s">
        <v>612</v>
      </c>
      <c r="H214" s="8">
        <v>2022</v>
      </c>
      <c r="I214" s="10" t="s">
        <v>40</v>
      </c>
      <c r="J214" s="12">
        <v>666229</v>
      </c>
      <c r="K214" s="10" t="s">
        <v>66</v>
      </c>
      <c r="L214" s="10" t="s">
        <v>19</v>
      </c>
      <c r="M214" s="10" t="s">
        <v>20</v>
      </c>
      <c r="N214" s="8">
        <f t="shared" ca="1" si="3"/>
        <v>8</v>
      </c>
      <c r="O214" s="11" t="s">
        <v>634</v>
      </c>
    </row>
    <row r="215" spans="1:15" x14ac:dyDescent="0.35">
      <c r="A215" s="8">
        <v>213</v>
      </c>
      <c r="B215" s="9" t="s">
        <v>454</v>
      </c>
      <c r="C215" s="10" t="s">
        <v>77</v>
      </c>
      <c r="D215" s="7" t="s">
        <v>455</v>
      </c>
      <c r="E215" s="10" t="s">
        <v>15</v>
      </c>
      <c r="F215" s="10" t="s">
        <v>39</v>
      </c>
      <c r="G215" s="10" t="s">
        <v>613</v>
      </c>
      <c r="H215" s="8">
        <v>2020</v>
      </c>
      <c r="I215" s="10" t="s">
        <v>17</v>
      </c>
      <c r="J215" s="12">
        <v>1578948</v>
      </c>
      <c r="K215" s="10" t="s">
        <v>27</v>
      </c>
      <c r="L215" s="10" t="s">
        <v>19</v>
      </c>
      <c r="M215" s="10" t="s">
        <v>41</v>
      </c>
      <c r="N215" s="8">
        <f t="shared" ca="1" si="3"/>
        <v>8</v>
      </c>
      <c r="O215" s="11" t="s">
        <v>632</v>
      </c>
    </row>
    <row r="216" spans="1:15" x14ac:dyDescent="0.35">
      <c r="A216" s="8">
        <v>214</v>
      </c>
      <c r="B216" s="9" t="s">
        <v>456</v>
      </c>
      <c r="C216" s="10" t="s">
        <v>77</v>
      </c>
      <c r="D216" s="7" t="s">
        <v>457</v>
      </c>
      <c r="E216" s="10" t="s">
        <v>75</v>
      </c>
      <c r="F216" s="10" t="s">
        <v>87</v>
      </c>
      <c r="G216" s="10" t="s">
        <v>614</v>
      </c>
      <c r="H216" s="8">
        <v>2019</v>
      </c>
      <c r="I216" s="10" t="s">
        <v>97</v>
      </c>
      <c r="J216" s="12">
        <v>1157194</v>
      </c>
      <c r="K216" s="10" t="s">
        <v>27</v>
      </c>
      <c r="L216" s="10" t="s">
        <v>28</v>
      </c>
      <c r="M216" s="10" t="s">
        <v>35</v>
      </c>
      <c r="N216" s="8">
        <f t="shared" ca="1" si="3"/>
        <v>10</v>
      </c>
      <c r="O216" s="11" t="s">
        <v>630</v>
      </c>
    </row>
    <row r="217" spans="1:15" x14ac:dyDescent="0.35">
      <c r="A217" s="8">
        <v>215</v>
      </c>
      <c r="B217" s="9" t="s">
        <v>458</v>
      </c>
      <c r="C217" s="10" t="s">
        <v>62</v>
      </c>
      <c r="D217" s="7" t="s">
        <v>459</v>
      </c>
      <c r="E217" s="10" t="s">
        <v>75</v>
      </c>
      <c r="F217" s="10" t="s">
        <v>16</v>
      </c>
      <c r="G217" s="10" t="s">
        <v>615</v>
      </c>
      <c r="H217" s="8">
        <v>2020</v>
      </c>
      <c r="I217" s="10" t="s">
        <v>40</v>
      </c>
      <c r="J217" s="12">
        <v>996386</v>
      </c>
      <c r="K217" s="10" t="s">
        <v>18</v>
      </c>
      <c r="L217" s="10" t="s">
        <v>28</v>
      </c>
      <c r="M217" s="10" t="s">
        <v>49</v>
      </c>
      <c r="N217" s="8">
        <f t="shared" ca="1" si="3"/>
        <v>6</v>
      </c>
      <c r="O217" s="11" t="s">
        <v>630</v>
      </c>
    </row>
    <row r="218" spans="1:15" x14ac:dyDescent="0.35">
      <c r="A218" s="8">
        <v>216</v>
      </c>
      <c r="B218" s="9" t="s">
        <v>460</v>
      </c>
      <c r="C218" s="10" t="s">
        <v>77</v>
      </c>
      <c r="D218" s="7" t="s">
        <v>461</v>
      </c>
      <c r="E218" s="10" t="s">
        <v>33</v>
      </c>
      <c r="F218" s="10" t="s">
        <v>87</v>
      </c>
      <c r="G218" s="10" t="s">
        <v>616</v>
      </c>
      <c r="H218" s="8">
        <v>2017</v>
      </c>
      <c r="I218" s="10" t="s">
        <v>97</v>
      </c>
      <c r="J218" s="12">
        <v>1569510</v>
      </c>
      <c r="K218" s="10" t="s">
        <v>27</v>
      </c>
      <c r="L218" s="10" t="s">
        <v>28</v>
      </c>
      <c r="M218" s="10" t="s">
        <v>49</v>
      </c>
      <c r="N218" s="8">
        <f t="shared" ca="1" si="3"/>
        <v>7</v>
      </c>
      <c r="O218" s="11" t="s">
        <v>633</v>
      </c>
    </row>
    <row r="219" spans="1:15" x14ac:dyDescent="0.35">
      <c r="A219" s="8">
        <v>217</v>
      </c>
      <c r="B219" s="9" t="s">
        <v>462</v>
      </c>
      <c r="C219" s="10" t="s">
        <v>77</v>
      </c>
      <c r="D219" s="7" t="s">
        <v>463</v>
      </c>
      <c r="E219" s="10" t="s">
        <v>48</v>
      </c>
      <c r="F219" s="10" t="s">
        <v>45</v>
      </c>
      <c r="G219" s="10" t="s">
        <v>611</v>
      </c>
      <c r="H219" s="8">
        <v>2020</v>
      </c>
      <c r="I219" s="10" t="s">
        <v>17</v>
      </c>
      <c r="J219" s="12">
        <v>1534685</v>
      </c>
      <c r="K219" s="10" t="s">
        <v>66</v>
      </c>
      <c r="L219" s="10" t="s">
        <v>28</v>
      </c>
      <c r="M219" s="10" t="s">
        <v>20</v>
      </c>
      <c r="N219" s="8">
        <f t="shared" ca="1" si="3"/>
        <v>10</v>
      </c>
      <c r="O219" s="11" t="s">
        <v>631</v>
      </c>
    </row>
    <row r="220" spans="1:15" x14ac:dyDescent="0.35">
      <c r="A220" s="8">
        <v>218</v>
      </c>
      <c r="B220" s="9" t="s">
        <v>161</v>
      </c>
      <c r="C220" s="10" t="s">
        <v>77</v>
      </c>
      <c r="D220" s="7" t="s">
        <v>464</v>
      </c>
      <c r="E220" s="10" t="s">
        <v>24</v>
      </c>
      <c r="F220" s="10" t="s">
        <v>60</v>
      </c>
      <c r="G220" s="10" t="s">
        <v>612</v>
      </c>
      <c r="H220" s="8">
        <v>2022</v>
      </c>
      <c r="I220" s="10" t="s">
        <v>57</v>
      </c>
      <c r="J220" s="12">
        <v>1930147</v>
      </c>
      <c r="K220" s="10" t="s">
        <v>27</v>
      </c>
      <c r="L220" s="10" t="s">
        <v>19</v>
      </c>
      <c r="M220" s="10" t="s">
        <v>20</v>
      </c>
      <c r="N220" s="8">
        <f t="shared" ca="1" si="3"/>
        <v>8</v>
      </c>
      <c r="O220" s="11" t="s">
        <v>630</v>
      </c>
    </row>
    <row r="221" spans="1:15" x14ac:dyDescent="0.35">
      <c r="A221" s="8">
        <v>219</v>
      </c>
      <c r="B221" s="9" t="s">
        <v>155</v>
      </c>
      <c r="C221" s="10" t="s">
        <v>31</v>
      </c>
      <c r="D221" s="7" t="s">
        <v>465</v>
      </c>
      <c r="E221" s="10" t="s">
        <v>15</v>
      </c>
      <c r="F221" s="10" t="s">
        <v>53</v>
      </c>
      <c r="G221" s="10" t="s">
        <v>613</v>
      </c>
      <c r="H221" s="8">
        <v>2023</v>
      </c>
      <c r="I221" s="10" t="s">
        <v>40</v>
      </c>
      <c r="J221" s="12">
        <v>1579053</v>
      </c>
      <c r="K221" s="10" t="s">
        <v>27</v>
      </c>
      <c r="L221" s="10" t="s">
        <v>28</v>
      </c>
      <c r="M221" s="10" t="s">
        <v>29</v>
      </c>
      <c r="N221" s="8">
        <f t="shared" ca="1" si="3"/>
        <v>6</v>
      </c>
      <c r="O221" s="11" t="s">
        <v>634</v>
      </c>
    </row>
    <row r="222" spans="1:15" x14ac:dyDescent="0.35">
      <c r="A222" s="8">
        <v>220</v>
      </c>
      <c r="B222" s="9" t="s">
        <v>466</v>
      </c>
      <c r="C222" s="10" t="s">
        <v>13</v>
      </c>
      <c r="D222" s="7" t="s">
        <v>467</v>
      </c>
      <c r="E222" s="10" t="s">
        <v>75</v>
      </c>
      <c r="F222" s="10" t="s">
        <v>39</v>
      </c>
      <c r="G222" s="10" t="s">
        <v>614</v>
      </c>
      <c r="H222" s="8">
        <v>2016</v>
      </c>
      <c r="I222" s="10" t="s">
        <v>40</v>
      </c>
      <c r="J222" s="12">
        <v>1414495</v>
      </c>
      <c r="K222" s="10" t="s">
        <v>18</v>
      </c>
      <c r="L222" s="10" t="s">
        <v>19</v>
      </c>
      <c r="M222" s="10" t="s">
        <v>49</v>
      </c>
      <c r="N222" s="8">
        <f t="shared" ca="1" si="3"/>
        <v>8</v>
      </c>
      <c r="O222" s="11" t="s">
        <v>633</v>
      </c>
    </row>
    <row r="223" spans="1:15" x14ac:dyDescent="0.35">
      <c r="A223" s="8">
        <v>221</v>
      </c>
      <c r="B223" s="9" t="s">
        <v>468</v>
      </c>
      <c r="C223" s="10" t="s">
        <v>55</v>
      </c>
      <c r="D223" s="7" t="s">
        <v>469</v>
      </c>
      <c r="E223" s="10" t="s">
        <v>48</v>
      </c>
      <c r="F223" s="10" t="s">
        <v>34</v>
      </c>
      <c r="G223" s="10" t="s">
        <v>615</v>
      </c>
      <c r="H223" s="8">
        <v>2022</v>
      </c>
      <c r="I223" s="10" t="s">
        <v>40</v>
      </c>
      <c r="J223" s="12">
        <v>1703015</v>
      </c>
      <c r="K223" s="10" t="s">
        <v>66</v>
      </c>
      <c r="L223" s="10" t="s">
        <v>28</v>
      </c>
      <c r="M223" s="10" t="s">
        <v>29</v>
      </c>
      <c r="N223" s="8">
        <f t="shared" ca="1" si="3"/>
        <v>9</v>
      </c>
      <c r="O223" s="11" t="s">
        <v>631</v>
      </c>
    </row>
    <row r="224" spans="1:15" x14ac:dyDescent="0.35">
      <c r="A224" s="8">
        <v>222</v>
      </c>
      <c r="B224" s="9" t="s">
        <v>470</v>
      </c>
      <c r="C224" s="10" t="s">
        <v>31</v>
      </c>
      <c r="D224" s="7" t="s">
        <v>471</v>
      </c>
      <c r="E224" s="10" t="s">
        <v>24</v>
      </c>
      <c r="F224" s="10" t="s">
        <v>39</v>
      </c>
      <c r="G224" s="10" t="s">
        <v>616</v>
      </c>
      <c r="H224" s="8">
        <v>2016</v>
      </c>
      <c r="I224" s="10" t="s">
        <v>97</v>
      </c>
      <c r="J224" s="12">
        <v>1623605</v>
      </c>
      <c r="K224" s="10" t="s">
        <v>27</v>
      </c>
      <c r="L224" s="10" t="s">
        <v>19</v>
      </c>
      <c r="M224" s="10" t="s">
        <v>49</v>
      </c>
      <c r="N224" s="8">
        <f t="shared" ca="1" si="3"/>
        <v>7</v>
      </c>
      <c r="O224" s="11" t="s">
        <v>632</v>
      </c>
    </row>
    <row r="225" spans="1:15" x14ac:dyDescent="0.35">
      <c r="A225" s="8">
        <v>223</v>
      </c>
      <c r="B225" s="9" t="s">
        <v>472</v>
      </c>
      <c r="C225" s="10" t="s">
        <v>51</v>
      </c>
      <c r="D225" s="7" t="s">
        <v>473</v>
      </c>
      <c r="E225" s="10" t="s">
        <v>24</v>
      </c>
      <c r="F225" s="10" t="s">
        <v>45</v>
      </c>
      <c r="G225" s="10" t="s">
        <v>611</v>
      </c>
      <c r="H225" s="8">
        <v>2020</v>
      </c>
      <c r="I225" s="10" t="s">
        <v>97</v>
      </c>
      <c r="J225" s="12">
        <v>303478</v>
      </c>
      <c r="K225" s="10" t="s">
        <v>66</v>
      </c>
      <c r="L225" s="10" t="s">
        <v>28</v>
      </c>
      <c r="M225" s="10" t="s">
        <v>35</v>
      </c>
      <c r="N225" s="8">
        <f t="shared" ca="1" si="3"/>
        <v>8</v>
      </c>
      <c r="O225" s="11" t="s">
        <v>633</v>
      </c>
    </row>
    <row r="226" spans="1:15" x14ac:dyDescent="0.35">
      <c r="A226" s="8">
        <v>224</v>
      </c>
      <c r="B226" s="9" t="s">
        <v>474</v>
      </c>
      <c r="C226" s="10" t="s">
        <v>43</v>
      </c>
      <c r="D226" s="7" t="s">
        <v>475</v>
      </c>
      <c r="E226" s="10" t="s">
        <v>48</v>
      </c>
      <c r="F226" s="10" t="s">
        <v>39</v>
      </c>
      <c r="G226" s="10" t="s">
        <v>612</v>
      </c>
      <c r="H226" s="8">
        <v>2024</v>
      </c>
      <c r="I226" s="10" t="s">
        <v>57</v>
      </c>
      <c r="J226" s="12">
        <v>1169235</v>
      </c>
      <c r="K226" s="10" t="s">
        <v>66</v>
      </c>
      <c r="L226" s="10" t="s">
        <v>28</v>
      </c>
      <c r="M226" s="10" t="s">
        <v>41</v>
      </c>
      <c r="N226" s="8">
        <f t="shared" ca="1" si="3"/>
        <v>4</v>
      </c>
      <c r="O226" s="11" t="s">
        <v>632</v>
      </c>
    </row>
    <row r="227" spans="1:15" x14ac:dyDescent="0.35">
      <c r="A227" s="8">
        <v>225</v>
      </c>
      <c r="B227" s="9" t="s">
        <v>476</v>
      </c>
      <c r="C227" s="10" t="s">
        <v>37</v>
      </c>
      <c r="D227" s="7" t="s">
        <v>477</v>
      </c>
      <c r="E227" s="10" t="s">
        <v>24</v>
      </c>
      <c r="F227" s="10" t="s">
        <v>16</v>
      </c>
      <c r="G227" s="10" t="s">
        <v>613</v>
      </c>
      <c r="H227" s="8">
        <v>2018</v>
      </c>
      <c r="I227" s="10" t="s">
        <v>82</v>
      </c>
      <c r="J227" s="12">
        <v>328567</v>
      </c>
      <c r="K227" s="10" t="s">
        <v>18</v>
      </c>
      <c r="L227" s="10" t="s">
        <v>28</v>
      </c>
      <c r="M227" s="10" t="s">
        <v>20</v>
      </c>
      <c r="N227" s="8">
        <f t="shared" ca="1" si="3"/>
        <v>9</v>
      </c>
      <c r="O227" s="11" t="s">
        <v>633</v>
      </c>
    </row>
    <row r="228" spans="1:15" x14ac:dyDescent="0.35">
      <c r="A228" s="8">
        <v>226</v>
      </c>
      <c r="B228" s="9" t="s">
        <v>478</v>
      </c>
      <c r="C228" s="10" t="s">
        <v>51</v>
      </c>
      <c r="D228" s="7" t="s">
        <v>479</v>
      </c>
      <c r="E228" s="10" t="s">
        <v>75</v>
      </c>
      <c r="F228" s="10" t="s">
        <v>106</v>
      </c>
      <c r="G228" s="10" t="s">
        <v>614</v>
      </c>
      <c r="H228" s="8">
        <v>2019</v>
      </c>
      <c r="I228" s="10" t="s">
        <v>57</v>
      </c>
      <c r="J228" s="12">
        <v>1049681</v>
      </c>
      <c r="K228" s="10" t="s">
        <v>18</v>
      </c>
      <c r="L228" s="10" t="s">
        <v>28</v>
      </c>
      <c r="M228" s="10" t="s">
        <v>35</v>
      </c>
      <c r="N228" s="8">
        <f t="shared" ca="1" si="3"/>
        <v>7</v>
      </c>
      <c r="O228" s="11" t="s">
        <v>633</v>
      </c>
    </row>
    <row r="229" spans="1:15" x14ac:dyDescent="0.35">
      <c r="A229" s="8">
        <v>227</v>
      </c>
      <c r="B229" s="9" t="s">
        <v>480</v>
      </c>
      <c r="C229" s="10" t="s">
        <v>80</v>
      </c>
      <c r="D229" s="7" t="s">
        <v>481</v>
      </c>
      <c r="E229" s="10" t="s">
        <v>24</v>
      </c>
      <c r="F229" s="10" t="s">
        <v>34</v>
      </c>
      <c r="G229" s="10" t="s">
        <v>615</v>
      </c>
      <c r="H229" s="8">
        <v>2016</v>
      </c>
      <c r="I229" s="10" t="s">
        <v>82</v>
      </c>
      <c r="J229" s="12">
        <v>730907</v>
      </c>
      <c r="K229" s="10" t="s">
        <v>18</v>
      </c>
      <c r="L229" s="10" t="s">
        <v>28</v>
      </c>
      <c r="M229" s="10" t="s">
        <v>35</v>
      </c>
      <c r="N229" s="8">
        <f t="shared" ca="1" si="3"/>
        <v>6</v>
      </c>
      <c r="O229" s="11" t="s">
        <v>632</v>
      </c>
    </row>
    <row r="230" spans="1:15" x14ac:dyDescent="0.35">
      <c r="A230" s="8">
        <v>228</v>
      </c>
      <c r="B230" s="9" t="s">
        <v>482</v>
      </c>
      <c r="C230" s="10" t="s">
        <v>80</v>
      </c>
      <c r="D230" s="7" t="s">
        <v>483</v>
      </c>
      <c r="E230" s="10" t="s">
        <v>75</v>
      </c>
      <c r="F230" s="10" t="s">
        <v>39</v>
      </c>
      <c r="G230" s="10" t="s">
        <v>616</v>
      </c>
      <c r="H230" s="8">
        <v>2017</v>
      </c>
      <c r="I230" s="10" t="s">
        <v>17</v>
      </c>
      <c r="J230" s="12">
        <v>667206</v>
      </c>
      <c r="K230" s="10" t="s">
        <v>66</v>
      </c>
      <c r="L230" s="10" t="s">
        <v>28</v>
      </c>
      <c r="M230" s="10" t="s">
        <v>35</v>
      </c>
      <c r="N230" s="8">
        <f t="shared" ca="1" si="3"/>
        <v>5</v>
      </c>
      <c r="O230" s="11" t="s">
        <v>632</v>
      </c>
    </row>
    <row r="231" spans="1:15" x14ac:dyDescent="0.35">
      <c r="A231" s="8">
        <v>229</v>
      </c>
      <c r="B231" s="9" t="s">
        <v>484</v>
      </c>
      <c r="C231" s="10" t="s">
        <v>13</v>
      </c>
      <c r="D231" s="7" t="s">
        <v>485</v>
      </c>
      <c r="E231" s="10" t="s">
        <v>33</v>
      </c>
      <c r="F231" s="10" t="s">
        <v>34</v>
      </c>
      <c r="G231" s="10" t="s">
        <v>611</v>
      </c>
      <c r="H231" s="8">
        <v>2016</v>
      </c>
      <c r="I231" s="10" t="s">
        <v>57</v>
      </c>
      <c r="J231" s="12">
        <v>1951080</v>
      </c>
      <c r="K231" s="10" t="s">
        <v>66</v>
      </c>
      <c r="L231" s="10" t="s">
        <v>19</v>
      </c>
      <c r="M231" s="10" t="s">
        <v>41</v>
      </c>
      <c r="N231" s="8">
        <f t="shared" ca="1" si="3"/>
        <v>10</v>
      </c>
      <c r="O231" s="11" t="s">
        <v>631</v>
      </c>
    </row>
    <row r="232" spans="1:15" x14ac:dyDescent="0.35">
      <c r="A232" s="8">
        <v>230</v>
      </c>
      <c r="B232" s="9" t="s">
        <v>486</v>
      </c>
      <c r="C232" s="10" t="s">
        <v>31</v>
      </c>
      <c r="D232" s="7" t="s">
        <v>487</v>
      </c>
      <c r="E232" s="10" t="s">
        <v>48</v>
      </c>
      <c r="F232" s="10" t="s">
        <v>90</v>
      </c>
      <c r="G232" s="10" t="s">
        <v>612</v>
      </c>
      <c r="H232" s="8">
        <v>2016</v>
      </c>
      <c r="I232" s="10" t="s">
        <v>57</v>
      </c>
      <c r="J232" s="12">
        <v>969267</v>
      </c>
      <c r="K232" s="10" t="s">
        <v>18</v>
      </c>
      <c r="L232" s="10" t="s">
        <v>28</v>
      </c>
      <c r="M232" s="10" t="s">
        <v>41</v>
      </c>
      <c r="N232" s="8">
        <f t="shared" ca="1" si="3"/>
        <v>10</v>
      </c>
      <c r="O232" s="11" t="s">
        <v>630</v>
      </c>
    </row>
    <row r="233" spans="1:15" x14ac:dyDescent="0.35">
      <c r="A233" s="8">
        <v>231</v>
      </c>
      <c r="B233" s="9" t="s">
        <v>488</v>
      </c>
      <c r="C233" s="10" t="s">
        <v>51</v>
      </c>
      <c r="D233" s="7" t="s">
        <v>489</v>
      </c>
      <c r="E233" s="10" t="s">
        <v>24</v>
      </c>
      <c r="F233" s="10" t="s">
        <v>39</v>
      </c>
      <c r="G233" s="10" t="s">
        <v>613</v>
      </c>
      <c r="H233" s="8">
        <v>2016</v>
      </c>
      <c r="I233" s="10" t="s">
        <v>17</v>
      </c>
      <c r="J233" s="12">
        <v>907364</v>
      </c>
      <c r="K233" s="10" t="s">
        <v>66</v>
      </c>
      <c r="L233" s="10" t="s">
        <v>28</v>
      </c>
      <c r="M233" s="10" t="s">
        <v>35</v>
      </c>
      <c r="N233" s="8">
        <f t="shared" ca="1" si="3"/>
        <v>5</v>
      </c>
      <c r="O233" s="11" t="s">
        <v>631</v>
      </c>
    </row>
    <row r="234" spans="1:15" x14ac:dyDescent="0.35">
      <c r="A234" s="8">
        <v>232</v>
      </c>
      <c r="B234" s="9" t="s">
        <v>248</v>
      </c>
      <c r="C234" s="10" t="s">
        <v>43</v>
      </c>
      <c r="D234" s="7" t="s">
        <v>490</v>
      </c>
      <c r="E234" s="10" t="s">
        <v>24</v>
      </c>
      <c r="F234" s="10" t="s">
        <v>34</v>
      </c>
      <c r="G234" s="10" t="s">
        <v>614</v>
      </c>
      <c r="H234" s="8">
        <v>2016</v>
      </c>
      <c r="I234" s="10" t="s">
        <v>17</v>
      </c>
      <c r="J234" s="12">
        <v>1133501</v>
      </c>
      <c r="K234" s="10" t="s">
        <v>27</v>
      </c>
      <c r="L234" s="10" t="s">
        <v>19</v>
      </c>
      <c r="M234" s="10" t="s">
        <v>41</v>
      </c>
      <c r="N234" s="8">
        <f t="shared" ca="1" si="3"/>
        <v>7</v>
      </c>
      <c r="O234" s="11" t="s">
        <v>634</v>
      </c>
    </row>
    <row r="235" spans="1:15" x14ac:dyDescent="0.35">
      <c r="A235" s="8">
        <v>233</v>
      </c>
      <c r="B235" s="9" t="s">
        <v>58</v>
      </c>
      <c r="C235" s="10" t="s">
        <v>22</v>
      </c>
      <c r="D235" s="7" t="s">
        <v>491</v>
      </c>
      <c r="E235" s="10" t="s">
        <v>75</v>
      </c>
      <c r="F235" s="10" t="s">
        <v>87</v>
      </c>
      <c r="G235" s="10" t="s">
        <v>615</v>
      </c>
      <c r="H235" s="8">
        <v>2017</v>
      </c>
      <c r="I235" s="10" t="s">
        <v>57</v>
      </c>
      <c r="J235" s="12">
        <v>1815712</v>
      </c>
      <c r="K235" s="10" t="s">
        <v>18</v>
      </c>
      <c r="L235" s="10" t="s">
        <v>19</v>
      </c>
      <c r="M235" s="10" t="s">
        <v>29</v>
      </c>
      <c r="N235" s="8">
        <f t="shared" ca="1" si="3"/>
        <v>7</v>
      </c>
      <c r="O235" s="11" t="s">
        <v>631</v>
      </c>
    </row>
    <row r="236" spans="1:15" x14ac:dyDescent="0.35">
      <c r="A236" s="8">
        <v>234</v>
      </c>
      <c r="B236" s="9" t="s">
        <v>492</v>
      </c>
      <c r="C236" s="10" t="s">
        <v>77</v>
      </c>
      <c r="D236" s="7" t="s">
        <v>493</v>
      </c>
      <c r="E236" s="10" t="s">
        <v>48</v>
      </c>
      <c r="F236" s="10" t="s">
        <v>39</v>
      </c>
      <c r="G236" s="10" t="s">
        <v>616</v>
      </c>
      <c r="H236" s="8">
        <v>2021</v>
      </c>
      <c r="I236" s="10" t="s">
        <v>57</v>
      </c>
      <c r="J236" s="12">
        <v>1238071</v>
      </c>
      <c r="K236" s="10" t="s">
        <v>27</v>
      </c>
      <c r="L236" s="10" t="s">
        <v>19</v>
      </c>
      <c r="M236" s="10" t="s">
        <v>41</v>
      </c>
      <c r="N236" s="8">
        <f t="shared" ca="1" si="3"/>
        <v>6</v>
      </c>
      <c r="O236" s="11" t="s">
        <v>631</v>
      </c>
    </row>
    <row r="237" spans="1:15" x14ac:dyDescent="0.35">
      <c r="A237" s="8">
        <v>235</v>
      </c>
      <c r="B237" s="9" t="s">
        <v>494</v>
      </c>
      <c r="C237" s="10" t="s">
        <v>37</v>
      </c>
      <c r="D237" s="7" t="s">
        <v>495</v>
      </c>
      <c r="E237" s="10" t="s">
        <v>15</v>
      </c>
      <c r="F237" s="10" t="s">
        <v>34</v>
      </c>
      <c r="G237" s="10" t="s">
        <v>611</v>
      </c>
      <c r="H237" s="8">
        <v>2020</v>
      </c>
      <c r="I237" s="10" t="s">
        <v>57</v>
      </c>
      <c r="J237" s="12">
        <v>1097974</v>
      </c>
      <c r="K237" s="10" t="s">
        <v>18</v>
      </c>
      <c r="L237" s="10" t="s">
        <v>19</v>
      </c>
      <c r="M237" s="10" t="s">
        <v>20</v>
      </c>
      <c r="N237" s="8">
        <f t="shared" ca="1" si="3"/>
        <v>5</v>
      </c>
      <c r="O237" s="11" t="s">
        <v>633</v>
      </c>
    </row>
    <row r="238" spans="1:15" x14ac:dyDescent="0.35">
      <c r="A238" s="8">
        <v>236</v>
      </c>
      <c r="B238" s="9" t="s">
        <v>496</v>
      </c>
      <c r="C238" s="10" t="s">
        <v>77</v>
      </c>
      <c r="D238" s="7" t="s">
        <v>497</v>
      </c>
      <c r="E238" s="10" t="s">
        <v>48</v>
      </c>
      <c r="F238" s="10" t="s">
        <v>87</v>
      </c>
      <c r="G238" s="10" t="s">
        <v>612</v>
      </c>
      <c r="H238" s="8">
        <v>2015</v>
      </c>
      <c r="I238" s="10" t="s">
        <v>82</v>
      </c>
      <c r="J238" s="12">
        <v>1868548</v>
      </c>
      <c r="K238" s="10" t="s">
        <v>27</v>
      </c>
      <c r="L238" s="10" t="s">
        <v>28</v>
      </c>
      <c r="M238" s="10" t="s">
        <v>41</v>
      </c>
      <c r="N238" s="8">
        <f t="shared" ca="1" si="3"/>
        <v>6</v>
      </c>
      <c r="O238" s="11" t="s">
        <v>632</v>
      </c>
    </row>
    <row r="239" spans="1:15" x14ac:dyDescent="0.35">
      <c r="A239" s="8">
        <v>237</v>
      </c>
      <c r="B239" s="9" t="s">
        <v>498</v>
      </c>
      <c r="C239" s="10" t="s">
        <v>51</v>
      </c>
      <c r="D239" s="7" t="s">
        <v>499</v>
      </c>
      <c r="E239" s="10" t="s">
        <v>15</v>
      </c>
      <c r="F239" s="10" t="s">
        <v>53</v>
      </c>
      <c r="G239" s="10" t="s">
        <v>613</v>
      </c>
      <c r="H239" s="8">
        <v>2015</v>
      </c>
      <c r="I239" s="10" t="s">
        <v>40</v>
      </c>
      <c r="J239" s="12">
        <v>923234</v>
      </c>
      <c r="K239" s="10" t="s">
        <v>18</v>
      </c>
      <c r="L239" s="10" t="s">
        <v>19</v>
      </c>
      <c r="M239" s="10" t="s">
        <v>49</v>
      </c>
      <c r="N239" s="8">
        <f t="shared" ca="1" si="3"/>
        <v>4</v>
      </c>
      <c r="O239" s="11" t="s">
        <v>632</v>
      </c>
    </row>
    <row r="240" spans="1:15" x14ac:dyDescent="0.35">
      <c r="A240" s="8">
        <v>238</v>
      </c>
      <c r="B240" s="9" t="s">
        <v>500</v>
      </c>
      <c r="C240" s="10" t="s">
        <v>31</v>
      </c>
      <c r="D240" s="7" t="s">
        <v>501</v>
      </c>
      <c r="E240" s="10" t="s">
        <v>75</v>
      </c>
      <c r="F240" s="10" t="s">
        <v>87</v>
      </c>
      <c r="G240" s="10" t="s">
        <v>614</v>
      </c>
      <c r="H240" s="8">
        <v>2021</v>
      </c>
      <c r="I240" s="10" t="s">
        <v>26</v>
      </c>
      <c r="J240" s="12">
        <v>1118057</v>
      </c>
      <c r="K240" s="10" t="s">
        <v>66</v>
      </c>
      <c r="L240" s="10" t="s">
        <v>28</v>
      </c>
      <c r="M240" s="10" t="s">
        <v>49</v>
      </c>
      <c r="N240" s="8">
        <f t="shared" ca="1" si="3"/>
        <v>10</v>
      </c>
      <c r="O240" s="11" t="s">
        <v>631</v>
      </c>
    </row>
    <row r="241" spans="1:15" x14ac:dyDescent="0.35">
      <c r="A241" s="8">
        <v>239</v>
      </c>
      <c r="B241" s="9" t="s">
        <v>502</v>
      </c>
      <c r="C241" s="10" t="s">
        <v>13</v>
      </c>
      <c r="D241" s="7" t="s">
        <v>503</v>
      </c>
      <c r="E241" s="10" t="s">
        <v>15</v>
      </c>
      <c r="F241" s="10" t="s">
        <v>45</v>
      </c>
      <c r="G241" s="10" t="s">
        <v>615</v>
      </c>
      <c r="H241" s="8">
        <v>2021</v>
      </c>
      <c r="I241" s="10" t="s">
        <v>17</v>
      </c>
      <c r="J241" s="12">
        <v>1589848</v>
      </c>
      <c r="K241" s="10" t="s">
        <v>27</v>
      </c>
      <c r="L241" s="10" t="s">
        <v>28</v>
      </c>
      <c r="M241" s="10" t="s">
        <v>49</v>
      </c>
      <c r="N241" s="8">
        <f t="shared" ca="1" si="3"/>
        <v>9</v>
      </c>
      <c r="O241" s="11" t="s">
        <v>634</v>
      </c>
    </row>
    <row r="242" spans="1:15" x14ac:dyDescent="0.35">
      <c r="A242" s="8">
        <v>240</v>
      </c>
      <c r="B242" s="9" t="s">
        <v>492</v>
      </c>
      <c r="C242" s="10" t="s">
        <v>22</v>
      </c>
      <c r="D242" s="7" t="s">
        <v>504</v>
      </c>
      <c r="E242" s="10" t="s">
        <v>24</v>
      </c>
      <c r="F242" s="10" t="s">
        <v>45</v>
      </c>
      <c r="G242" s="10" t="s">
        <v>616</v>
      </c>
      <c r="H242" s="8">
        <v>2020</v>
      </c>
      <c r="I242" s="10" t="s">
        <v>40</v>
      </c>
      <c r="J242" s="12">
        <v>661722</v>
      </c>
      <c r="K242" s="10" t="s">
        <v>66</v>
      </c>
      <c r="L242" s="10" t="s">
        <v>28</v>
      </c>
      <c r="M242" s="10" t="s">
        <v>41</v>
      </c>
      <c r="N242" s="8">
        <f t="shared" ca="1" si="3"/>
        <v>8</v>
      </c>
      <c r="O242" s="11" t="s">
        <v>634</v>
      </c>
    </row>
    <row r="243" spans="1:15" x14ac:dyDescent="0.35">
      <c r="A243" s="8">
        <v>241</v>
      </c>
      <c r="B243" s="9" t="s">
        <v>178</v>
      </c>
      <c r="C243" s="10" t="s">
        <v>22</v>
      </c>
      <c r="D243" s="7" t="s">
        <v>505</v>
      </c>
      <c r="E243" s="10" t="s">
        <v>48</v>
      </c>
      <c r="F243" s="10" t="s">
        <v>53</v>
      </c>
      <c r="G243" s="10" t="s">
        <v>611</v>
      </c>
      <c r="H243" s="8">
        <v>2020</v>
      </c>
      <c r="I243" s="10" t="s">
        <v>26</v>
      </c>
      <c r="J243" s="12">
        <v>374956</v>
      </c>
      <c r="K243" s="10" t="s">
        <v>66</v>
      </c>
      <c r="L243" s="10" t="s">
        <v>19</v>
      </c>
      <c r="M243" s="10" t="s">
        <v>41</v>
      </c>
      <c r="N243" s="8">
        <f t="shared" ca="1" si="3"/>
        <v>6</v>
      </c>
      <c r="O243" s="11" t="s">
        <v>634</v>
      </c>
    </row>
    <row r="244" spans="1:15" x14ac:dyDescent="0.35">
      <c r="A244" s="8">
        <v>242</v>
      </c>
      <c r="B244" s="9" t="s">
        <v>218</v>
      </c>
      <c r="C244" s="10" t="s">
        <v>77</v>
      </c>
      <c r="D244" s="7" t="s">
        <v>506</v>
      </c>
      <c r="E244" s="10" t="s">
        <v>75</v>
      </c>
      <c r="F244" s="10" t="s">
        <v>53</v>
      </c>
      <c r="G244" s="10" t="s">
        <v>612</v>
      </c>
      <c r="H244" s="8">
        <v>2015</v>
      </c>
      <c r="I244" s="10" t="s">
        <v>97</v>
      </c>
      <c r="J244" s="12">
        <v>481368</v>
      </c>
      <c r="K244" s="10" t="s">
        <v>27</v>
      </c>
      <c r="L244" s="10" t="s">
        <v>28</v>
      </c>
      <c r="M244" s="10" t="s">
        <v>35</v>
      </c>
      <c r="N244" s="8">
        <f t="shared" ca="1" si="3"/>
        <v>6</v>
      </c>
      <c r="O244" s="11" t="s">
        <v>632</v>
      </c>
    </row>
    <row r="245" spans="1:15" x14ac:dyDescent="0.35">
      <c r="A245" s="8">
        <v>243</v>
      </c>
      <c r="B245" s="9" t="s">
        <v>507</v>
      </c>
      <c r="C245" s="10" t="s">
        <v>22</v>
      </c>
      <c r="D245" s="7" t="s">
        <v>508</v>
      </c>
      <c r="E245" s="10" t="s">
        <v>24</v>
      </c>
      <c r="F245" s="10" t="s">
        <v>90</v>
      </c>
      <c r="G245" s="10" t="s">
        <v>613</v>
      </c>
      <c r="H245" s="8">
        <v>2016</v>
      </c>
      <c r="I245" s="10" t="s">
        <v>57</v>
      </c>
      <c r="J245" s="12">
        <v>1157490</v>
      </c>
      <c r="K245" s="10" t="s">
        <v>27</v>
      </c>
      <c r="L245" s="10" t="s">
        <v>19</v>
      </c>
      <c r="M245" s="10" t="s">
        <v>41</v>
      </c>
      <c r="N245" s="8">
        <f t="shared" ca="1" si="3"/>
        <v>9</v>
      </c>
      <c r="O245" s="11" t="s">
        <v>631</v>
      </c>
    </row>
    <row r="246" spans="1:15" x14ac:dyDescent="0.35">
      <c r="A246" s="8">
        <v>244</v>
      </c>
      <c r="B246" s="9" t="s">
        <v>509</v>
      </c>
      <c r="C246" s="10" t="s">
        <v>22</v>
      </c>
      <c r="D246" s="7" t="s">
        <v>510</v>
      </c>
      <c r="E246" s="10" t="s">
        <v>75</v>
      </c>
      <c r="F246" s="10" t="s">
        <v>34</v>
      </c>
      <c r="G246" s="10" t="s">
        <v>614</v>
      </c>
      <c r="H246" s="8">
        <v>2018</v>
      </c>
      <c r="I246" s="10" t="s">
        <v>82</v>
      </c>
      <c r="J246" s="12">
        <v>886558</v>
      </c>
      <c r="K246" s="10" t="s">
        <v>66</v>
      </c>
      <c r="L246" s="10" t="s">
        <v>19</v>
      </c>
      <c r="M246" s="10" t="s">
        <v>20</v>
      </c>
      <c r="N246" s="8">
        <f t="shared" ca="1" si="3"/>
        <v>10</v>
      </c>
      <c r="O246" s="11" t="s">
        <v>631</v>
      </c>
    </row>
    <row r="247" spans="1:15" x14ac:dyDescent="0.35">
      <c r="A247" s="8">
        <v>245</v>
      </c>
      <c r="B247" s="9" t="s">
        <v>511</v>
      </c>
      <c r="C247" s="10" t="s">
        <v>55</v>
      </c>
      <c r="D247" s="7" t="s">
        <v>512</v>
      </c>
      <c r="E247" s="10" t="s">
        <v>75</v>
      </c>
      <c r="F247" s="10" t="s">
        <v>60</v>
      </c>
      <c r="G247" s="10" t="s">
        <v>615</v>
      </c>
      <c r="H247" s="8">
        <v>2021</v>
      </c>
      <c r="I247" s="10" t="s">
        <v>40</v>
      </c>
      <c r="J247" s="12">
        <v>1410210</v>
      </c>
      <c r="K247" s="10" t="s">
        <v>66</v>
      </c>
      <c r="L247" s="10" t="s">
        <v>28</v>
      </c>
      <c r="M247" s="10" t="s">
        <v>20</v>
      </c>
      <c r="N247" s="8">
        <f t="shared" ca="1" si="3"/>
        <v>6</v>
      </c>
      <c r="O247" s="11" t="s">
        <v>634</v>
      </c>
    </row>
    <row r="248" spans="1:15" x14ac:dyDescent="0.35">
      <c r="A248" s="8">
        <v>246</v>
      </c>
      <c r="B248" s="9" t="s">
        <v>359</v>
      </c>
      <c r="C248" s="10" t="s">
        <v>55</v>
      </c>
      <c r="D248" s="7" t="s">
        <v>513</v>
      </c>
      <c r="E248" s="10" t="s">
        <v>33</v>
      </c>
      <c r="F248" s="10" t="s">
        <v>90</v>
      </c>
      <c r="G248" s="10" t="s">
        <v>616</v>
      </c>
      <c r="H248" s="8">
        <v>2016</v>
      </c>
      <c r="I248" s="10" t="s">
        <v>40</v>
      </c>
      <c r="J248" s="12">
        <v>824724</v>
      </c>
      <c r="K248" s="10" t="s">
        <v>27</v>
      </c>
      <c r="L248" s="10" t="s">
        <v>19</v>
      </c>
      <c r="M248" s="10" t="s">
        <v>41</v>
      </c>
      <c r="N248" s="8">
        <f t="shared" ca="1" si="3"/>
        <v>4</v>
      </c>
      <c r="O248" s="11" t="s">
        <v>634</v>
      </c>
    </row>
    <row r="249" spans="1:15" x14ac:dyDescent="0.35">
      <c r="A249" s="8">
        <v>247</v>
      </c>
      <c r="B249" s="9" t="s">
        <v>514</v>
      </c>
      <c r="C249" s="10" t="s">
        <v>22</v>
      </c>
      <c r="D249" s="7" t="s">
        <v>515</v>
      </c>
      <c r="E249" s="10" t="s">
        <v>15</v>
      </c>
      <c r="F249" s="10" t="s">
        <v>90</v>
      </c>
      <c r="G249" s="10" t="s">
        <v>611</v>
      </c>
      <c r="H249" s="8">
        <v>2023</v>
      </c>
      <c r="I249" s="10" t="s">
        <v>97</v>
      </c>
      <c r="J249" s="12">
        <v>1663021</v>
      </c>
      <c r="K249" s="10" t="s">
        <v>18</v>
      </c>
      <c r="L249" s="10" t="s">
        <v>19</v>
      </c>
      <c r="M249" s="10" t="s">
        <v>41</v>
      </c>
      <c r="N249" s="8">
        <f t="shared" ca="1" si="3"/>
        <v>5</v>
      </c>
      <c r="O249" s="11" t="s">
        <v>633</v>
      </c>
    </row>
    <row r="250" spans="1:15" x14ac:dyDescent="0.35">
      <c r="A250" s="8">
        <v>248</v>
      </c>
      <c r="B250" s="9" t="s">
        <v>516</v>
      </c>
      <c r="C250" s="10" t="s">
        <v>51</v>
      </c>
      <c r="D250" s="7" t="s">
        <v>517</v>
      </c>
      <c r="E250" s="10" t="s">
        <v>33</v>
      </c>
      <c r="F250" s="10" t="s">
        <v>87</v>
      </c>
      <c r="G250" s="10" t="s">
        <v>612</v>
      </c>
      <c r="H250" s="8">
        <v>2015</v>
      </c>
      <c r="I250" s="10" t="s">
        <v>40</v>
      </c>
      <c r="J250" s="12">
        <v>1487445</v>
      </c>
      <c r="K250" s="10" t="s">
        <v>27</v>
      </c>
      <c r="L250" s="10" t="s">
        <v>19</v>
      </c>
      <c r="M250" s="10" t="s">
        <v>29</v>
      </c>
      <c r="N250" s="8">
        <f t="shared" ca="1" si="3"/>
        <v>6</v>
      </c>
      <c r="O250" s="11" t="s">
        <v>630</v>
      </c>
    </row>
    <row r="251" spans="1:15" x14ac:dyDescent="0.35">
      <c r="A251" s="8">
        <v>249</v>
      </c>
      <c r="B251" s="9" t="s">
        <v>518</v>
      </c>
      <c r="C251" s="10" t="s">
        <v>51</v>
      </c>
      <c r="D251" s="7" t="s">
        <v>519</v>
      </c>
      <c r="E251" s="10" t="s">
        <v>24</v>
      </c>
      <c r="F251" s="10" t="s">
        <v>106</v>
      </c>
      <c r="G251" s="10" t="s">
        <v>613</v>
      </c>
      <c r="H251" s="8">
        <v>2015</v>
      </c>
      <c r="I251" s="10" t="s">
        <v>40</v>
      </c>
      <c r="J251" s="12">
        <v>392336</v>
      </c>
      <c r="K251" s="10" t="s">
        <v>18</v>
      </c>
      <c r="L251" s="10" t="s">
        <v>28</v>
      </c>
      <c r="M251" s="10" t="s">
        <v>41</v>
      </c>
      <c r="N251" s="8">
        <f t="shared" ca="1" si="3"/>
        <v>4</v>
      </c>
      <c r="O251" s="11" t="s">
        <v>631</v>
      </c>
    </row>
    <row r="252" spans="1:15" x14ac:dyDescent="0.35">
      <c r="A252" s="8">
        <v>250</v>
      </c>
      <c r="B252" s="9" t="s">
        <v>151</v>
      </c>
      <c r="C252" s="10" t="s">
        <v>22</v>
      </c>
      <c r="D252" s="7" t="s">
        <v>520</v>
      </c>
      <c r="E252" s="10" t="s">
        <v>48</v>
      </c>
      <c r="F252" s="10" t="s">
        <v>45</v>
      </c>
      <c r="G252" s="10" t="s">
        <v>614</v>
      </c>
      <c r="H252" s="8">
        <v>2022</v>
      </c>
      <c r="I252" s="10" t="s">
        <v>26</v>
      </c>
      <c r="J252" s="12">
        <v>1908060</v>
      </c>
      <c r="K252" s="10" t="s">
        <v>27</v>
      </c>
      <c r="L252" s="10" t="s">
        <v>19</v>
      </c>
      <c r="M252" s="10" t="s">
        <v>35</v>
      </c>
      <c r="N252" s="8">
        <f t="shared" ca="1" si="3"/>
        <v>9</v>
      </c>
      <c r="O252" s="11" t="s">
        <v>630</v>
      </c>
    </row>
    <row r="253" spans="1:15" x14ac:dyDescent="0.35">
      <c r="A253" s="8">
        <v>251</v>
      </c>
      <c r="B253" s="9" t="s">
        <v>224</v>
      </c>
      <c r="C253" s="10" t="s">
        <v>51</v>
      </c>
      <c r="D253" s="7" t="s">
        <v>521</v>
      </c>
      <c r="E253" s="10" t="s">
        <v>75</v>
      </c>
      <c r="F253" s="10" t="s">
        <v>39</v>
      </c>
      <c r="G253" s="10" t="s">
        <v>615</v>
      </c>
      <c r="H253" s="8">
        <v>2023</v>
      </c>
      <c r="I253" s="10" t="s">
        <v>17</v>
      </c>
      <c r="J253" s="12">
        <v>474396</v>
      </c>
      <c r="K253" s="10" t="s">
        <v>66</v>
      </c>
      <c r="L253" s="10" t="s">
        <v>28</v>
      </c>
      <c r="M253" s="10" t="s">
        <v>49</v>
      </c>
      <c r="N253" s="8">
        <f t="shared" ca="1" si="3"/>
        <v>8</v>
      </c>
      <c r="O253" s="11" t="s">
        <v>634</v>
      </c>
    </row>
    <row r="254" spans="1:15" x14ac:dyDescent="0.35">
      <c r="A254" s="8">
        <v>252</v>
      </c>
      <c r="B254" s="9" t="s">
        <v>522</v>
      </c>
      <c r="C254" s="10" t="s">
        <v>22</v>
      </c>
      <c r="D254" s="7" t="s">
        <v>523</v>
      </c>
      <c r="E254" s="10" t="s">
        <v>24</v>
      </c>
      <c r="F254" s="10" t="s">
        <v>90</v>
      </c>
      <c r="G254" s="10" t="s">
        <v>616</v>
      </c>
      <c r="H254" s="8">
        <v>2018</v>
      </c>
      <c r="I254" s="10" t="s">
        <v>82</v>
      </c>
      <c r="J254" s="12">
        <v>444555</v>
      </c>
      <c r="K254" s="10" t="s">
        <v>18</v>
      </c>
      <c r="L254" s="10" t="s">
        <v>28</v>
      </c>
      <c r="M254" s="10" t="s">
        <v>35</v>
      </c>
      <c r="N254" s="8">
        <f t="shared" ca="1" si="3"/>
        <v>6</v>
      </c>
      <c r="O254" s="11" t="s">
        <v>630</v>
      </c>
    </row>
    <row r="255" spans="1:15" x14ac:dyDescent="0.35">
      <c r="A255" s="8">
        <v>253</v>
      </c>
      <c r="B255" s="9" t="s">
        <v>524</v>
      </c>
      <c r="C255" s="10" t="s">
        <v>31</v>
      </c>
      <c r="D255" s="7" t="s">
        <v>525</v>
      </c>
      <c r="E255" s="10" t="s">
        <v>75</v>
      </c>
      <c r="F255" s="10" t="s">
        <v>16</v>
      </c>
      <c r="G255" s="10" t="s">
        <v>611</v>
      </c>
      <c r="H255" s="8">
        <v>2017</v>
      </c>
      <c r="I255" s="10" t="s">
        <v>57</v>
      </c>
      <c r="J255" s="12">
        <v>882289</v>
      </c>
      <c r="K255" s="10" t="s">
        <v>18</v>
      </c>
      <c r="L255" s="10" t="s">
        <v>28</v>
      </c>
      <c r="M255" s="10" t="s">
        <v>29</v>
      </c>
      <c r="N255" s="8">
        <f t="shared" ca="1" si="3"/>
        <v>5</v>
      </c>
      <c r="O255" s="11" t="s">
        <v>633</v>
      </c>
    </row>
    <row r="256" spans="1:15" x14ac:dyDescent="0.35">
      <c r="A256" s="8">
        <v>254</v>
      </c>
      <c r="B256" s="9" t="s">
        <v>341</v>
      </c>
      <c r="C256" s="10" t="s">
        <v>51</v>
      </c>
      <c r="D256" s="7" t="s">
        <v>526</v>
      </c>
      <c r="E256" s="10" t="s">
        <v>24</v>
      </c>
      <c r="F256" s="10" t="s">
        <v>25</v>
      </c>
      <c r="G256" s="10" t="s">
        <v>612</v>
      </c>
      <c r="H256" s="8">
        <v>2021</v>
      </c>
      <c r="I256" s="10" t="s">
        <v>26</v>
      </c>
      <c r="J256" s="12">
        <v>1904508</v>
      </c>
      <c r="K256" s="10" t="s">
        <v>27</v>
      </c>
      <c r="L256" s="10" t="s">
        <v>19</v>
      </c>
      <c r="M256" s="10" t="s">
        <v>20</v>
      </c>
      <c r="N256" s="8">
        <f t="shared" ca="1" si="3"/>
        <v>10</v>
      </c>
      <c r="O256" s="11" t="s">
        <v>634</v>
      </c>
    </row>
    <row r="257" spans="1:15" x14ac:dyDescent="0.35">
      <c r="A257" s="8">
        <v>255</v>
      </c>
      <c r="B257" s="9" t="s">
        <v>527</v>
      </c>
      <c r="C257" s="10" t="s">
        <v>13</v>
      </c>
      <c r="D257" s="7" t="s">
        <v>528</v>
      </c>
      <c r="E257" s="10" t="s">
        <v>33</v>
      </c>
      <c r="F257" s="10" t="s">
        <v>90</v>
      </c>
      <c r="G257" s="10" t="s">
        <v>613</v>
      </c>
      <c r="H257" s="8">
        <v>2018</v>
      </c>
      <c r="I257" s="10" t="s">
        <v>57</v>
      </c>
      <c r="J257" s="12">
        <v>1737495</v>
      </c>
      <c r="K257" s="10" t="s">
        <v>18</v>
      </c>
      <c r="L257" s="10" t="s">
        <v>28</v>
      </c>
      <c r="M257" s="10" t="s">
        <v>49</v>
      </c>
      <c r="N257" s="8">
        <f t="shared" ca="1" si="3"/>
        <v>6</v>
      </c>
      <c r="O257" s="11" t="s">
        <v>634</v>
      </c>
    </row>
    <row r="258" spans="1:15" x14ac:dyDescent="0.35">
      <c r="A258" s="8">
        <v>256</v>
      </c>
      <c r="B258" s="9" t="s">
        <v>529</v>
      </c>
      <c r="C258" s="10" t="s">
        <v>77</v>
      </c>
      <c r="D258" s="7" t="s">
        <v>530</v>
      </c>
      <c r="E258" s="10" t="s">
        <v>33</v>
      </c>
      <c r="F258" s="10" t="s">
        <v>16</v>
      </c>
      <c r="G258" s="10" t="s">
        <v>614</v>
      </c>
      <c r="H258" s="8">
        <v>2019</v>
      </c>
      <c r="I258" s="10" t="s">
        <v>40</v>
      </c>
      <c r="J258" s="12">
        <v>1948346</v>
      </c>
      <c r="K258" s="10" t="s">
        <v>18</v>
      </c>
      <c r="L258" s="10" t="s">
        <v>19</v>
      </c>
      <c r="M258" s="10" t="s">
        <v>29</v>
      </c>
      <c r="N258" s="8">
        <f t="shared" ca="1" si="3"/>
        <v>4</v>
      </c>
      <c r="O258" s="11" t="s">
        <v>630</v>
      </c>
    </row>
    <row r="259" spans="1:15" x14ac:dyDescent="0.35">
      <c r="A259" s="8">
        <v>257</v>
      </c>
      <c r="B259" s="9" t="s">
        <v>531</v>
      </c>
      <c r="C259" s="10" t="s">
        <v>37</v>
      </c>
      <c r="D259" s="7" t="s">
        <v>532</v>
      </c>
      <c r="E259" s="10" t="s">
        <v>33</v>
      </c>
      <c r="F259" s="10" t="s">
        <v>60</v>
      </c>
      <c r="G259" s="10" t="s">
        <v>615</v>
      </c>
      <c r="H259" s="8">
        <v>2023</v>
      </c>
      <c r="I259" s="10" t="s">
        <v>40</v>
      </c>
      <c r="J259" s="12">
        <v>964007</v>
      </c>
      <c r="K259" s="10" t="s">
        <v>27</v>
      </c>
      <c r="L259" s="10" t="s">
        <v>19</v>
      </c>
      <c r="M259" s="10" t="s">
        <v>35</v>
      </c>
      <c r="N259" s="8">
        <f t="shared" ref="N259:N302" ca="1" si="4">RANDBETWEEN(4,10)</f>
        <v>9</v>
      </c>
      <c r="O259" s="11" t="s">
        <v>632</v>
      </c>
    </row>
    <row r="260" spans="1:15" x14ac:dyDescent="0.35">
      <c r="A260" s="8">
        <v>258</v>
      </c>
      <c r="B260" s="9" t="s">
        <v>533</v>
      </c>
      <c r="C260" s="10" t="s">
        <v>77</v>
      </c>
      <c r="D260" s="7" t="s">
        <v>534</v>
      </c>
      <c r="E260" s="10" t="s">
        <v>75</v>
      </c>
      <c r="F260" s="10" t="s">
        <v>90</v>
      </c>
      <c r="G260" s="10" t="s">
        <v>616</v>
      </c>
      <c r="H260" s="8">
        <v>2015</v>
      </c>
      <c r="I260" s="10" t="s">
        <v>26</v>
      </c>
      <c r="J260" s="12">
        <v>1225932</v>
      </c>
      <c r="K260" s="10" t="s">
        <v>18</v>
      </c>
      <c r="L260" s="10" t="s">
        <v>19</v>
      </c>
      <c r="M260" s="10" t="s">
        <v>41</v>
      </c>
      <c r="N260" s="8">
        <f t="shared" ca="1" si="4"/>
        <v>7</v>
      </c>
      <c r="O260" s="11" t="s">
        <v>630</v>
      </c>
    </row>
    <row r="261" spans="1:15" x14ac:dyDescent="0.35">
      <c r="A261" s="8">
        <v>259</v>
      </c>
      <c r="B261" s="9" t="s">
        <v>200</v>
      </c>
      <c r="C261" s="10" t="s">
        <v>55</v>
      </c>
      <c r="D261" s="7" t="s">
        <v>535</v>
      </c>
      <c r="E261" s="10" t="s">
        <v>48</v>
      </c>
      <c r="F261" s="10" t="s">
        <v>106</v>
      </c>
      <c r="G261" s="10" t="s">
        <v>611</v>
      </c>
      <c r="H261" s="8">
        <v>2022</v>
      </c>
      <c r="I261" s="10" t="s">
        <v>57</v>
      </c>
      <c r="J261" s="12">
        <v>1887870</v>
      </c>
      <c r="K261" s="10" t="s">
        <v>66</v>
      </c>
      <c r="L261" s="10" t="s">
        <v>19</v>
      </c>
      <c r="M261" s="10" t="s">
        <v>20</v>
      </c>
      <c r="N261" s="8">
        <f t="shared" ca="1" si="4"/>
        <v>5</v>
      </c>
      <c r="O261" s="11" t="s">
        <v>632</v>
      </c>
    </row>
    <row r="262" spans="1:15" x14ac:dyDescent="0.35">
      <c r="A262" s="8">
        <v>260</v>
      </c>
      <c r="B262" s="9" t="s">
        <v>536</v>
      </c>
      <c r="C262" s="10" t="s">
        <v>13</v>
      </c>
      <c r="D262" s="7" t="s">
        <v>537</v>
      </c>
      <c r="E262" s="10" t="s">
        <v>48</v>
      </c>
      <c r="F262" s="10" t="s">
        <v>25</v>
      </c>
      <c r="G262" s="10" t="s">
        <v>612</v>
      </c>
      <c r="H262" s="8">
        <v>2018</v>
      </c>
      <c r="I262" s="10" t="s">
        <v>26</v>
      </c>
      <c r="J262" s="12">
        <v>676490</v>
      </c>
      <c r="K262" s="10" t="s">
        <v>66</v>
      </c>
      <c r="L262" s="10" t="s">
        <v>19</v>
      </c>
      <c r="M262" s="10" t="s">
        <v>20</v>
      </c>
      <c r="N262" s="8">
        <f t="shared" ca="1" si="4"/>
        <v>7</v>
      </c>
      <c r="O262" s="11" t="s">
        <v>631</v>
      </c>
    </row>
    <row r="263" spans="1:15" x14ac:dyDescent="0.35">
      <c r="A263" s="8">
        <v>261</v>
      </c>
      <c r="B263" s="9" t="s">
        <v>330</v>
      </c>
      <c r="C263" s="10" t="s">
        <v>37</v>
      </c>
      <c r="D263" s="7" t="s">
        <v>538</v>
      </c>
      <c r="E263" s="10" t="s">
        <v>24</v>
      </c>
      <c r="F263" s="10" t="s">
        <v>45</v>
      </c>
      <c r="G263" s="10" t="s">
        <v>613</v>
      </c>
      <c r="H263" s="8">
        <v>2019</v>
      </c>
      <c r="I263" s="10" t="s">
        <v>97</v>
      </c>
      <c r="J263" s="12">
        <v>963549</v>
      </c>
      <c r="K263" s="10" t="s">
        <v>18</v>
      </c>
      <c r="L263" s="10" t="s">
        <v>28</v>
      </c>
      <c r="M263" s="10" t="s">
        <v>29</v>
      </c>
      <c r="N263" s="8">
        <f t="shared" ca="1" si="4"/>
        <v>9</v>
      </c>
      <c r="O263" s="11" t="s">
        <v>631</v>
      </c>
    </row>
    <row r="264" spans="1:15" x14ac:dyDescent="0.35">
      <c r="A264" s="8">
        <v>262</v>
      </c>
      <c r="B264" s="9" t="s">
        <v>539</v>
      </c>
      <c r="C264" s="10" t="s">
        <v>22</v>
      </c>
      <c r="D264" s="7" t="s">
        <v>540</v>
      </c>
      <c r="E264" s="10" t="s">
        <v>33</v>
      </c>
      <c r="F264" s="10" t="s">
        <v>45</v>
      </c>
      <c r="G264" s="10" t="s">
        <v>614</v>
      </c>
      <c r="H264" s="8">
        <v>2019</v>
      </c>
      <c r="I264" s="10" t="s">
        <v>40</v>
      </c>
      <c r="J264" s="12">
        <v>1446530</v>
      </c>
      <c r="K264" s="10" t="s">
        <v>27</v>
      </c>
      <c r="L264" s="10" t="s">
        <v>28</v>
      </c>
      <c r="M264" s="10" t="s">
        <v>35</v>
      </c>
      <c r="N264" s="8">
        <f t="shared" ca="1" si="4"/>
        <v>6</v>
      </c>
      <c r="O264" s="11" t="s">
        <v>634</v>
      </c>
    </row>
    <row r="265" spans="1:15" x14ac:dyDescent="0.35">
      <c r="A265" s="8">
        <v>263</v>
      </c>
      <c r="B265" s="9" t="s">
        <v>514</v>
      </c>
      <c r="C265" s="10" t="s">
        <v>43</v>
      </c>
      <c r="D265" s="7" t="s">
        <v>541</v>
      </c>
      <c r="E265" s="10" t="s">
        <v>15</v>
      </c>
      <c r="F265" s="10" t="s">
        <v>53</v>
      </c>
      <c r="G265" s="10" t="s">
        <v>615</v>
      </c>
      <c r="H265" s="8">
        <v>2023</v>
      </c>
      <c r="I265" s="10" t="s">
        <v>82</v>
      </c>
      <c r="J265" s="12">
        <v>1306905</v>
      </c>
      <c r="K265" s="10" t="s">
        <v>27</v>
      </c>
      <c r="L265" s="10" t="s">
        <v>19</v>
      </c>
      <c r="M265" s="10" t="s">
        <v>41</v>
      </c>
      <c r="N265" s="8">
        <f t="shared" ca="1" si="4"/>
        <v>10</v>
      </c>
      <c r="O265" s="11" t="s">
        <v>630</v>
      </c>
    </row>
    <row r="266" spans="1:15" x14ac:dyDescent="0.35">
      <c r="A266" s="8">
        <v>264</v>
      </c>
      <c r="B266" s="9" t="s">
        <v>542</v>
      </c>
      <c r="C266" s="10" t="s">
        <v>43</v>
      </c>
      <c r="D266" s="7" t="s">
        <v>543</v>
      </c>
      <c r="E266" s="10" t="s">
        <v>24</v>
      </c>
      <c r="F266" s="10" t="s">
        <v>16</v>
      </c>
      <c r="G266" s="10" t="s">
        <v>616</v>
      </c>
      <c r="H266" s="8">
        <v>2022</v>
      </c>
      <c r="I266" s="10" t="s">
        <v>97</v>
      </c>
      <c r="J266" s="12">
        <v>427837</v>
      </c>
      <c r="K266" s="10" t="s">
        <v>27</v>
      </c>
      <c r="L266" s="10" t="s">
        <v>28</v>
      </c>
      <c r="M266" s="10" t="s">
        <v>49</v>
      </c>
      <c r="N266" s="8">
        <f t="shared" ca="1" si="4"/>
        <v>6</v>
      </c>
      <c r="O266" s="11" t="s">
        <v>630</v>
      </c>
    </row>
    <row r="267" spans="1:15" x14ac:dyDescent="0.35">
      <c r="A267" s="8">
        <v>265</v>
      </c>
      <c r="B267" s="9" t="s">
        <v>54</v>
      </c>
      <c r="C267" s="10" t="s">
        <v>77</v>
      </c>
      <c r="D267" s="7" t="s">
        <v>544</v>
      </c>
      <c r="E267" s="10" t="s">
        <v>24</v>
      </c>
      <c r="F267" s="10" t="s">
        <v>45</v>
      </c>
      <c r="G267" s="10" t="s">
        <v>611</v>
      </c>
      <c r="H267" s="8">
        <v>2017</v>
      </c>
      <c r="I267" s="10" t="s">
        <v>82</v>
      </c>
      <c r="J267" s="12">
        <v>898552</v>
      </c>
      <c r="K267" s="10" t="s">
        <v>27</v>
      </c>
      <c r="L267" s="10" t="s">
        <v>19</v>
      </c>
      <c r="M267" s="10" t="s">
        <v>35</v>
      </c>
      <c r="N267" s="8">
        <f t="shared" ca="1" si="4"/>
        <v>10</v>
      </c>
      <c r="O267" s="11" t="s">
        <v>634</v>
      </c>
    </row>
    <row r="268" spans="1:15" x14ac:dyDescent="0.35">
      <c r="A268" s="8">
        <v>266</v>
      </c>
      <c r="B268" s="9" t="s">
        <v>545</v>
      </c>
      <c r="C268" s="10" t="s">
        <v>37</v>
      </c>
      <c r="D268" s="7" t="s">
        <v>546</v>
      </c>
      <c r="E268" s="10" t="s">
        <v>24</v>
      </c>
      <c r="F268" s="10" t="s">
        <v>90</v>
      </c>
      <c r="G268" s="10" t="s">
        <v>612</v>
      </c>
      <c r="H268" s="8">
        <v>2015</v>
      </c>
      <c r="I268" s="10" t="s">
        <v>17</v>
      </c>
      <c r="J268" s="12">
        <v>1271595</v>
      </c>
      <c r="K268" s="10" t="s">
        <v>66</v>
      </c>
      <c r="L268" s="10" t="s">
        <v>19</v>
      </c>
      <c r="M268" s="10" t="s">
        <v>20</v>
      </c>
      <c r="N268" s="8">
        <f t="shared" ca="1" si="4"/>
        <v>10</v>
      </c>
      <c r="O268" s="11" t="s">
        <v>631</v>
      </c>
    </row>
    <row r="269" spans="1:15" x14ac:dyDescent="0.35">
      <c r="A269" s="8">
        <v>267</v>
      </c>
      <c r="B269" s="9" t="s">
        <v>332</v>
      </c>
      <c r="C269" s="10" t="s">
        <v>51</v>
      </c>
      <c r="D269" s="7" t="s">
        <v>547</v>
      </c>
      <c r="E269" s="10" t="s">
        <v>24</v>
      </c>
      <c r="F269" s="10" t="s">
        <v>90</v>
      </c>
      <c r="G269" s="10" t="s">
        <v>613</v>
      </c>
      <c r="H269" s="8">
        <v>2015</v>
      </c>
      <c r="I269" s="10" t="s">
        <v>40</v>
      </c>
      <c r="J269" s="12">
        <v>1979131</v>
      </c>
      <c r="K269" s="10" t="s">
        <v>18</v>
      </c>
      <c r="L269" s="10" t="s">
        <v>19</v>
      </c>
      <c r="M269" s="10" t="s">
        <v>29</v>
      </c>
      <c r="N269" s="8">
        <f t="shared" ca="1" si="4"/>
        <v>6</v>
      </c>
      <c r="O269" s="11" t="s">
        <v>630</v>
      </c>
    </row>
    <row r="270" spans="1:15" x14ac:dyDescent="0.35">
      <c r="A270" s="8">
        <v>268</v>
      </c>
      <c r="B270" s="9" t="s">
        <v>548</v>
      </c>
      <c r="C270" s="10" t="s">
        <v>51</v>
      </c>
      <c r="D270" s="7" t="s">
        <v>549</v>
      </c>
      <c r="E270" s="10" t="s">
        <v>15</v>
      </c>
      <c r="F270" s="10" t="s">
        <v>60</v>
      </c>
      <c r="G270" s="10" t="s">
        <v>614</v>
      </c>
      <c r="H270" s="8">
        <v>2020</v>
      </c>
      <c r="I270" s="10" t="s">
        <v>17</v>
      </c>
      <c r="J270" s="12">
        <v>786592</v>
      </c>
      <c r="K270" s="10" t="s">
        <v>66</v>
      </c>
      <c r="L270" s="10" t="s">
        <v>28</v>
      </c>
      <c r="M270" s="10" t="s">
        <v>41</v>
      </c>
      <c r="N270" s="8">
        <f t="shared" ca="1" si="4"/>
        <v>6</v>
      </c>
      <c r="O270" s="11" t="s">
        <v>630</v>
      </c>
    </row>
    <row r="271" spans="1:15" x14ac:dyDescent="0.35">
      <c r="A271" s="8">
        <v>269</v>
      </c>
      <c r="B271" s="9" t="s">
        <v>550</v>
      </c>
      <c r="C271" s="10" t="s">
        <v>37</v>
      </c>
      <c r="D271" s="7" t="s">
        <v>551</v>
      </c>
      <c r="E271" s="10" t="s">
        <v>15</v>
      </c>
      <c r="F271" s="10" t="s">
        <v>34</v>
      </c>
      <c r="G271" s="10" t="s">
        <v>615</v>
      </c>
      <c r="H271" s="8">
        <v>2016</v>
      </c>
      <c r="I271" s="10" t="s">
        <v>82</v>
      </c>
      <c r="J271" s="12">
        <v>1710491</v>
      </c>
      <c r="K271" s="10" t="s">
        <v>27</v>
      </c>
      <c r="L271" s="10" t="s">
        <v>19</v>
      </c>
      <c r="M271" s="10" t="s">
        <v>35</v>
      </c>
      <c r="N271" s="8">
        <f t="shared" ca="1" si="4"/>
        <v>10</v>
      </c>
      <c r="O271" s="11" t="s">
        <v>633</v>
      </c>
    </row>
    <row r="272" spans="1:15" x14ac:dyDescent="0.35">
      <c r="A272" s="8">
        <v>270</v>
      </c>
      <c r="B272" s="9" t="s">
        <v>552</v>
      </c>
      <c r="C272" s="10" t="s">
        <v>31</v>
      </c>
      <c r="D272" s="7" t="s">
        <v>553</v>
      </c>
      <c r="E272" s="10" t="s">
        <v>48</v>
      </c>
      <c r="F272" s="10" t="s">
        <v>39</v>
      </c>
      <c r="G272" s="10" t="s">
        <v>616</v>
      </c>
      <c r="H272" s="8">
        <v>2022</v>
      </c>
      <c r="I272" s="10" t="s">
        <v>82</v>
      </c>
      <c r="J272" s="12">
        <v>1169194</v>
      </c>
      <c r="K272" s="10" t="s">
        <v>66</v>
      </c>
      <c r="L272" s="10" t="s">
        <v>19</v>
      </c>
      <c r="M272" s="10" t="s">
        <v>35</v>
      </c>
      <c r="N272" s="8">
        <f t="shared" ca="1" si="4"/>
        <v>8</v>
      </c>
      <c r="O272" s="11" t="s">
        <v>631</v>
      </c>
    </row>
    <row r="273" spans="1:15" x14ac:dyDescent="0.35">
      <c r="A273" s="8">
        <v>271</v>
      </c>
      <c r="B273" s="9" t="s">
        <v>147</v>
      </c>
      <c r="C273" s="10" t="s">
        <v>51</v>
      </c>
      <c r="D273" s="7" t="s">
        <v>554</v>
      </c>
      <c r="E273" s="10" t="s">
        <v>24</v>
      </c>
      <c r="F273" s="10" t="s">
        <v>45</v>
      </c>
      <c r="G273" s="10" t="s">
        <v>611</v>
      </c>
      <c r="H273" s="8">
        <v>2017</v>
      </c>
      <c r="I273" s="10" t="s">
        <v>97</v>
      </c>
      <c r="J273" s="12">
        <v>1607918</v>
      </c>
      <c r="K273" s="10" t="s">
        <v>66</v>
      </c>
      <c r="L273" s="10" t="s">
        <v>19</v>
      </c>
      <c r="M273" s="10" t="s">
        <v>35</v>
      </c>
      <c r="N273" s="8">
        <f t="shared" ca="1" si="4"/>
        <v>10</v>
      </c>
      <c r="O273" s="11" t="s">
        <v>632</v>
      </c>
    </row>
    <row r="274" spans="1:15" x14ac:dyDescent="0.35">
      <c r="A274" s="8">
        <v>272</v>
      </c>
      <c r="B274" s="9" t="s">
        <v>555</v>
      </c>
      <c r="C274" s="10" t="s">
        <v>31</v>
      </c>
      <c r="D274" s="7" t="s">
        <v>556</v>
      </c>
      <c r="E274" s="10" t="s">
        <v>15</v>
      </c>
      <c r="F274" s="10" t="s">
        <v>106</v>
      </c>
      <c r="G274" s="10" t="s">
        <v>612</v>
      </c>
      <c r="H274" s="8">
        <v>2017</v>
      </c>
      <c r="I274" s="10" t="s">
        <v>40</v>
      </c>
      <c r="J274" s="12">
        <v>1873152</v>
      </c>
      <c r="K274" s="10" t="s">
        <v>18</v>
      </c>
      <c r="L274" s="10" t="s">
        <v>19</v>
      </c>
      <c r="M274" s="10" t="s">
        <v>41</v>
      </c>
      <c r="N274" s="8">
        <f t="shared" ca="1" si="4"/>
        <v>10</v>
      </c>
      <c r="O274" s="11" t="s">
        <v>632</v>
      </c>
    </row>
    <row r="275" spans="1:15" x14ac:dyDescent="0.35">
      <c r="A275" s="8">
        <v>273</v>
      </c>
      <c r="B275" s="9" t="s">
        <v>557</v>
      </c>
      <c r="C275" s="10" t="s">
        <v>77</v>
      </c>
      <c r="D275" s="7" t="s">
        <v>558</v>
      </c>
      <c r="E275" s="10" t="s">
        <v>33</v>
      </c>
      <c r="F275" s="10" t="s">
        <v>25</v>
      </c>
      <c r="G275" s="10" t="s">
        <v>613</v>
      </c>
      <c r="H275" s="8">
        <v>2017</v>
      </c>
      <c r="I275" s="10" t="s">
        <v>17</v>
      </c>
      <c r="J275" s="12">
        <v>1601578</v>
      </c>
      <c r="K275" s="10" t="s">
        <v>27</v>
      </c>
      <c r="L275" s="10" t="s">
        <v>19</v>
      </c>
      <c r="M275" s="10" t="s">
        <v>20</v>
      </c>
      <c r="N275" s="8">
        <f t="shared" ca="1" si="4"/>
        <v>9</v>
      </c>
      <c r="O275" s="11" t="s">
        <v>631</v>
      </c>
    </row>
    <row r="276" spans="1:15" x14ac:dyDescent="0.35">
      <c r="A276" s="8">
        <v>274</v>
      </c>
      <c r="B276" s="9" t="s">
        <v>559</v>
      </c>
      <c r="C276" s="10" t="s">
        <v>62</v>
      </c>
      <c r="D276" s="7" t="s">
        <v>560</v>
      </c>
      <c r="E276" s="10" t="s">
        <v>33</v>
      </c>
      <c r="F276" s="10" t="s">
        <v>90</v>
      </c>
      <c r="G276" s="10" t="s">
        <v>614</v>
      </c>
      <c r="H276" s="8">
        <v>2019</v>
      </c>
      <c r="I276" s="10" t="s">
        <v>57</v>
      </c>
      <c r="J276" s="12">
        <v>935883</v>
      </c>
      <c r="K276" s="10" t="s">
        <v>66</v>
      </c>
      <c r="L276" s="10" t="s">
        <v>19</v>
      </c>
      <c r="M276" s="10" t="s">
        <v>35</v>
      </c>
      <c r="N276" s="8">
        <f t="shared" ca="1" si="4"/>
        <v>4</v>
      </c>
      <c r="O276" s="11" t="s">
        <v>632</v>
      </c>
    </row>
    <row r="277" spans="1:15" x14ac:dyDescent="0.35">
      <c r="A277" s="8">
        <v>275</v>
      </c>
      <c r="B277" s="9" t="s">
        <v>561</v>
      </c>
      <c r="C277" s="10" t="s">
        <v>80</v>
      </c>
      <c r="D277" s="7" t="s">
        <v>562</v>
      </c>
      <c r="E277" s="10" t="s">
        <v>15</v>
      </c>
      <c r="F277" s="10" t="s">
        <v>53</v>
      </c>
      <c r="G277" s="10" t="s">
        <v>615</v>
      </c>
      <c r="H277" s="8">
        <v>2021</v>
      </c>
      <c r="I277" s="10" t="s">
        <v>82</v>
      </c>
      <c r="J277" s="12">
        <v>1095915</v>
      </c>
      <c r="K277" s="10" t="s">
        <v>66</v>
      </c>
      <c r="L277" s="10" t="s">
        <v>19</v>
      </c>
      <c r="M277" s="10" t="s">
        <v>29</v>
      </c>
      <c r="N277" s="8">
        <f t="shared" ca="1" si="4"/>
        <v>7</v>
      </c>
      <c r="O277" s="11" t="s">
        <v>632</v>
      </c>
    </row>
    <row r="278" spans="1:15" x14ac:dyDescent="0.35">
      <c r="A278" s="8">
        <v>276</v>
      </c>
      <c r="B278" s="9" t="s">
        <v>563</v>
      </c>
      <c r="C278" s="10" t="s">
        <v>55</v>
      </c>
      <c r="D278" s="7" t="s">
        <v>564</v>
      </c>
      <c r="E278" s="10" t="s">
        <v>48</v>
      </c>
      <c r="F278" s="10" t="s">
        <v>45</v>
      </c>
      <c r="G278" s="10" t="s">
        <v>616</v>
      </c>
      <c r="H278" s="8">
        <v>2022</v>
      </c>
      <c r="I278" s="10" t="s">
        <v>57</v>
      </c>
      <c r="J278" s="12">
        <v>406275</v>
      </c>
      <c r="K278" s="10" t="s">
        <v>27</v>
      </c>
      <c r="L278" s="10" t="s">
        <v>19</v>
      </c>
      <c r="M278" s="10" t="s">
        <v>35</v>
      </c>
      <c r="N278" s="8">
        <f t="shared" ca="1" si="4"/>
        <v>4</v>
      </c>
      <c r="O278" s="11" t="s">
        <v>634</v>
      </c>
    </row>
    <row r="279" spans="1:15" x14ac:dyDescent="0.35">
      <c r="A279" s="8">
        <v>277</v>
      </c>
      <c r="B279" s="9" t="s">
        <v>73</v>
      </c>
      <c r="C279" s="10" t="s">
        <v>31</v>
      </c>
      <c r="D279" s="7" t="s">
        <v>565</v>
      </c>
      <c r="E279" s="10" t="s">
        <v>75</v>
      </c>
      <c r="F279" s="10" t="s">
        <v>90</v>
      </c>
      <c r="G279" s="10" t="s">
        <v>611</v>
      </c>
      <c r="H279" s="8">
        <v>2020</v>
      </c>
      <c r="I279" s="10" t="s">
        <v>82</v>
      </c>
      <c r="J279" s="12">
        <v>1053864</v>
      </c>
      <c r="K279" s="10" t="s">
        <v>66</v>
      </c>
      <c r="L279" s="10" t="s">
        <v>28</v>
      </c>
      <c r="M279" s="10" t="s">
        <v>35</v>
      </c>
      <c r="N279" s="8">
        <f t="shared" ca="1" si="4"/>
        <v>9</v>
      </c>
      <c r="O279" s="11" t="s">
        <v>631</v>
      </c>
    </row>
    <row r="280" spans="1:15" x14ac:dyDescent="0.35">
      <c r="A280" s="8">
        <v>278</v>
      </c>
      <c r="B280" s="9" t="s">
        <v>566</v>
      </c>
      <c r="C280" s="10" t="s">
        <v>43</v>
      </c>
      <c r="D280" s="7" t="s">
        <v>567</v>
      </c>
      <c r="E280" s="10" t="s">
        <v>24</v>
      </c>
      <c r="F280" s="10" t="s">
        <v>87</v>
      </c>
      <c r="G280" s="10" t="s">
        <v>612</v>
      </c>
      <c r="H280" s="8">
        <v>2018</v>
      </c>
      <c r="I280" s="10" t="s">
        <v>82</v>
      </c>
      <c r="J280" s="12">
        <v>881181</v>
      </c>
      <c r="K280" s="10" t="s">
        <v>18</v>
      </c>
      <c r="L280" s="10" t="s">
        <v>28</v>
      </c>
      <c r="M280" s="10" t="s">
        <v>29</v>
      </c>
      <c r="N280" s="8">
        <f t="shared" ca="1" si="4"/>
        <v>4</v>
      </c>
      <c r="O280" s="11" t="s">
        <v>634</v>
      </c>
    </row>
    <row r="281" spans="1:15" x14ac:dyDescent="0.35">
      <c r="A281" s="8">
        <v>279</v>
      </c>
      <c r="B281" s="9" t="s">
        <v>568</v>
      </c>
      <c r="C281" s="10" t="s">
        <v>51</v>
      </c>
      <c r="D281" s="7" t="s">
        <v>569</v>
      </c>
      <c r="E281" s="10" t="s">
        <v>48</v>
      </c>
      <c r="F281" s="10" t="s">
        <v>34</v>
      </c>
      <c r="G281" s="10" t="s">
        <v>613</v>
      </c>
      <c r="H281" s="8">
        <v>2018</v>
      </c>
      <c r="I281" s="10" t="s">
        <v>40</v>
      </c>
      <c r="J281" s="12">
        <v>1058440</v>
      </c>
      <c r="K281" s="10" t="s">
        <v>18</v>
      </c>
      <c r="L281" s="10" t="s">
        <v>28</v>
      </c>
      <c r="M281" s="10" t="s">
        <v>35</v>
      </c>
      <c r="N281" s="8">
        <f t="shared" ca="1" si="4"/>
        <v>10</v>
      </c>
      <c r="O281" s="11" t="s">
        <v>631</v>
      </c>
    </row>
    <row r="282" spans="1:15" x14ac:dyDescent="0.35">
      <c r="A282" s="8">
        <v>280</v>
      </c>
      <c r="B282" s="9" t="s">
        <v>570</v>
      </c>
      <c r="C282" s="10" t="s">
        <v>43</v>
      </c>
      <c r="D282" s="7" t="s">
        <v>571</v>
      </c>
      <c r="E282" s="10" t="s">
        <v>15</v>
      </c>
      <c r="F282" s="10" t="s">
        <v>39</v>
      </c>
      <c r="G282" s="10" t="s">
        <v>614</v>
      </c>
      <c r="H282" s="8">
        <v>2016</v>
      </c>
      <c r="I282" s="10" t="s">
        <v>82</v>
      </c>
      <c r="J282" s="12">
        <v>1081726</v>
      </c>
      <c r="K282" s="10" t="s">
        <v>18</v>
      </c>
      <c r="L282" s="10" t="s">
        <v>19</v>
      </c>
      <c r="M282" s="10" t="s">
        <v>29</v>
      </c>
      <c r="N282" s="8">
        <f t="shared" ca="1" si="4"/>
        <v>4</v>
      </c>
      <c r="O282" s="11" t="s">
        <v>632</v>
      </c>
    </row>
    <row r="283" spans="1:15" x14ac:dyDescent="0.35">
      <c r="A283" s="8">
        <v>281</v>
      </c>
      <c r="B283" s="9" t="s">
        <v>572</v>
      </c>
      <c r="C283" s="10" t="s">
        <v>51</v>
      </c>
      <c r="D283" s="7" t="s">
        <v>573</v>
      </c>
      <c r="E283" s="10" t="s">
        <v>75</v>
      </c>
      <c r="F283" s="10" t="s">
        <v>16</v>
      </c>
      <c r="G283" s="10" t="s">
        <v>615</v>
      </c>
      <c r="H283" s="8">
        <v>2016</v>
      </c>
      <c r="I283" s="10" t="s">
        <v>17</v>
      </c>
      <c r="J283" s="12">
        <v>891922</v>
      </c>
      <c r="K283" s="10" t="s">
        <v>18</v>
      </c>
      <c r="L283" s="10" t="s">
        <v>19</v>
      </c>
      <c r="M283" s="10" t="s">
        <v>41</v>
      </c>
      <c r="N283" s="8">
        <f t="shared" ca="1" si="4"/>
        <v>5</v>
      </c>
      <c r="O283" s="11" t="s">
        <v>633</v>
      </c>
    </row>
    <row r="284" spans="1:15" x14ac:dyDescent="0.35">
      <c r="A284" s="8">
        <v>282</v>
      </c>
      <c r="B284" s="9" t="s">
        <v>574</v>
      </c>
      <c r="C284" s="10" t="s">
        <v>13</v>
      </c>
      <c r="D284" s="7" t="s">
        <v>575</v>
      </c>
      <c r="E284" s="10" t="s">
        <v>24</v>
      </c>
      <c r="F284" s="10" t="s">
        <v>39</v>
      </c>
      <c r="G284" s="10" t="s">
        <v>616</v>
      </c>
      <c r="H284" s="8">
        <v>2019</v>
      </c>
      <c r="I284" s="10" t="s">
        <v>17</v>
      </c>
      <c r="J284" s="12">
        <v>1025565</v>
      </c>
      <c r="K284" s="10" t="s">
        <v>18</v>
      </c>
      <c r="L284" s="10" t="s">
        <v>19</v>
      </c>
      <c r="M284" s="10" t="s">
        <v>29</v>
      </c>
      <c r="N284" s="8">
        <f t="shared" ca="1" si="4"/>
        <v>7</v>
      </c>
      <c r="O284" s="11" t="s">
        <v>632</v>
      </c>
    </row>
    <row r="285" spans="1:15" x14ac:dyDescent="0.35">
      <c r="A285" s="8">
        <v>283</v>
      </c>
      <c r="B285" s="9" t="s">
        <v>285</v>
      </c>
      <c r="C285" s="10" t="s">
        <v>80</v>
      </c>
      <c r="D285" s="7" t="s">
        <v>576</v>
      </c>
      <c r="E285" s="10" t="s">
        <v>33</v>
      </c>
      <c r="F285" s="10" t="s">
        <v>25</v>
      </c>
      <c r="G285" s="10" t="s">
        <v>611</v>
      </c>
      <c r="H285" s="8">
        <v>2017</v>
      </c>
      <c r="I285" s="10" t="s">
        <v>82</v>
      </c>
      <c r="J285" s="12">
        <v>402915</v>
      </c>
      <c r="K285" s="10" t="s">
        <v>27</v>
      </c>
      <c r="L285" s="10" t="s">
        <v>19</v>
      </c>
      <c r="M285" s="10" t="s">
        <v>41</v>
      </c>
      <c r="N285" s="8">
        <f t="shared" ca="1" si="4"/>
        <v>5</v>
      </c>
      <c r="O285" s="11" t="s">
        <v>634</v>
      </c>
    </row>
    <row r="286" spans="1:15" x14ac:dyDescent="0.35">
      <c r="A286" s="8">
        <v>284</v>
      </c>
      <c r="B286" s="9" t="s">
        <v>577</v>
      </c>
      <c r="C286" s="10" t="s">
        <v>43</v>
      </c>
      <c r="D286" s="7" t="s">
        <v>578</v>
      </c>
      <c r="E286" s="10" t="s">
        <v>75</v>
      </c>
      <c r="F286" s="10" t="s">
        <v>87</v>
      </c>
      <c r="G286" s="10" t="s">
        <v>612</v>
      </c>
      <c r="H286" s="8">
        <v>2015</v>
      </c>
      <c r="I286" s="10" t="s">
        <v>17</v>
      </c>
      <c r="J286" s="12">
        <v>1165512</v>
      </c>
      <c r="K286" s="10" t="s">
        <v>66</v>
      </c>
      <c r="L286" s="10" t="s">
        <v>28</v>
      </c>
      <c r="M286" s="10" t="s">
        <v>20</v>
      </c>
      <c r="N286" s="8">
        <f t="shared" ca="1" si="4"/>
        <v>6</v>
      </c>
      <c r="O286" s="11" t="s">
        <v>632</v>
      </c>
    </row>
    <row r="287" spans="1:15" x14ac:dyDescent="0.35">
      <c r="A287" s="8">
        <v>285</v>
      </c>
      <c r="B287" s="9" t="s">
        <v>579</v>
      </c>
      <c r="C287" s="10" t="s">
        <v>31</v>
      </c>
      <c r="D287" s="7" t="s">
        <v>580</v>
      </c>
      <c r="E287" s="10" t="s">
        <v>75</v>
      </c>
      <c r="F287" s="10" t="s">
        <v>87</v>
      </c>
      <c r="G287" s="10" t="s">
        <v>613</v>
      </c>
      <c r="H287" s="8">
        <v>2019</v>
      </c>
      <c r="I287" s="10" t="s">
        <v>82</v>
      </c>
      <c r="J287" s="12">
        <v>1388544</v>
      </c>
      <c r="K287" s="10" t="s">
        <v>18</v>
      </c>
      <c r="L287" s="10" t="s">
        <v>28</v>
      </c>
      <c r="M287" s="10" t="s">
        <v>35</v>
      </c>
      <c r="N287" s="8">
        <f t="shared" ca="1" si="4"/>
        <v>9</v>
      </c>
      <c r="O287" s="11" t="s">
        <v>634</v>
      </c>
    </row>
    <row r="288" spans="1:15" x14ac:dyDescent="0.35">
      <c r="A288" s="8">
        <v>286</v>
      </c>
      <c r="B288" s="9" t="s">
        <v>581</v>
      </c>
      <c r="C288" s="10" t="s">
        <v>13</v>
      </c>
      <c r="D288" s="7" t="s">
        <v>582</v>
      </c>
      <c r="E288" s="10" t="s">
        <v>75</v>
      </c>
      <c r="F288" s="10" t="s">
        <v>53</v>
      </c>
      <c r="G288" s="10" t="s">
        <v>614</v>
      </c>
      <c r="H288" s="8">
        <v>2015</v>
      </c>
      <c r="I288" s="10" t="s">
        <v>57</v>
      </c>
      <c r="J288" s="12">
        <v>1918532</v>
      </c>
      <c r="K288" s="10" t="s">
        <v>66</v>
      </c>
      <c r="L288" s="10" t="s">
        <v>28</v>
      </c>
      <c r="M288" s="10" t="s">
        <v>20</v>
      </c>
      <c r="N288" s="8">
        <f t="shared" ca="1" si="4"/>
        <v>8</v>
      </c>
      <c r="O288" s="11" t="s">
        <v>630</v>
      </c>
    </row>
    <row r="289" spans="1:15" x14ac:dyDescent="0.35">
      <c r="A289" s="8">
        <v>287</v>
      </c>
      <c r="B289" s="9" t="s">
        <v>583</v>
      </c>
      <c r="C289" s="10" t="s">
        <v>80</v>
      </c>
      <c r="D289" s="7" t="s">
        <v>584</v>
      </c>
      <c r="E289" s="10" t="s">
        <v>15</v>
      </c>
      <c r="F289" s="10" t="s">
        <v>90</v>
      </c>
      <c r="G289" s="10" t="s">
        <v>615</v>
      </c>
      <c r="H289" s="8">
        <v>2022</v>
      </c>
      <c r="I289" s="10" t="s">
        <v>26</v>
      </c>
      <c r="J289" s="12">
        <v>1037737</v>
      </c>
      <c r="K289" s="10" t="s">
        <v>18</v>
      </c>
      <c r="L289" s="10" t="s">
        <v>28</v>
      </c>
      <c r="M289" s="10" t="s">
        <v>41</v>
      </c>
      <c r="N289" s="8">
        <f t="shared" ca="1" si="4"/>
        <v>6</v>
      </c>
      <c r="O289" s="11" t="s">
        <v>630</v>
      </c>
    </row>
    <row r="290" spans="1:15" x14ac:dyDescent="0.35">
      <c r="A290" s="8">
        <v>288</v>
      </c>
      <c r="B290" s="9" t="s">
        <v>585</v>
      </c>
      <c r="C290" s="10" t="s">
        <v>77</v>
      </c>
      <c r="D290" s="7" t="s">
        <v>586</v>
      </c>
      <c r="E290" s="10" t="s">
        <v>48</v>
      </c>
      <c r="F290" s="10" t="s">
        <v>16</v>
      </c>
      <c r="G290" s="10" t="s">
        <v>616</v>
      </c>
      <c r="H290" s="8">
        <v>2018</v>
      </c>
      <c r="I290" s="10" t="s">
        <v>26</v>
      </c>
      <c r="J290" s="12">
        <v>422899</v>
      </c>
      <c r="K290" s="10" t="s">
        <v>18</v>
      </c>
      <c r="L290" s="10" t="s">
        <v>19</v>
      </c>
      <c r="M290" s="10" t="s">
        <v>35</v>
      </c>
      <c r="N290" s="8">
        <f t="shared" ca="1" si="4"/>
        <v>9</v>
      </c>
      <c r="O290" s="11" t="s">
        <v>631</v>
      </c>
    </row>
    <row r="291" spans="1:15" x14ac:dyDescent="0.35">
      <c r="A291" s="8">
        <v>289</v>
      </c>
      <c r="B291" s="9" t="s">
        <v>587</v>
      </c>
      <c r="C291" s="10" t="s">
        <v>22</v>
      </c>
      <c r="D291" s="7" t="s">
        <v>588</v>
      </c>
      <c r="E291" s="10" t="s">
        <v>15</v>
      </c>
      <c r="F291" s="10" t="s">
        <v>16</v>
      </c>
      <c r="G291" s="10" t="s">
        <v>611</v>
      </c>
      <c r="H291" s="8">
        <v>2023</v>
      </c>
      <c r="I291" s="10" t="s">
        <v>57</v>
      </c>
      <c r="J291" s="12">
        <v>1380415</v>
      </c>
      <c r="K291" s="10" t="s">
        <v>27</v>
      </c>
      <c r="L291" s="10" t="s">
        <v>28</v>
      </c>
      <c r="M291" s="10" t="s">
        <v>41</v>
      </c>
      <c r="N291" s="8">
        <f t="shared" ca="1" si="4"/>
        <v>9</v>
      </c>
      <c r="O291" s="11" t="s">
        <v>634</v>
      </c>
    </row>
    <row r="292" spans="1:15" x14ac:dyDescent="0.35">
      <c r="A292" s="8">
        <v>290</v>
      </c>
      <c r="B292" s="9" t="s">
        <v>589</v>
      </c>
      <c r="C292" s="10" t="s">
        <v>13</v>
      </c>
      <c r="D292" s="7" t="s">
        <v>590</v>
      </c>
      <c r="E292" s="10" t="s">
        <v>33</v>
      </c>
      <c r="F292" s="10" t="s">
        <v>53</v>
      </c>
      <c r="G292" s="10" t="s">
        <v>612</v>
      </c>
      <c r="H292" s="8">
        <v>2024</v>
      </c>
      <c r="I292" s="10" t="s">
        <v>97</v>
      </c>
      <c r="J292" s="12">
        <v>448763</v>
      </c>
      <c r="K292" s="10" t="s">
        <v>66</v>
      </c>
      <c r="L292" s="10" t="s">
        <v>19</v>
      </c>
      <c r="M292" s="10" t="s">
        <v>41</v>
      </c>
      <c r="N292" s="8">
        <f t="shared" ca="1" si="4"/>
        <v>9</v>
      </c>
      <c r="O292" s="11" t="s">
        <v>630</v>
      </c>
    </row>
    <row r="293" spans="1:15" x14ac:dyDescent="0.35">
      <c r="A293" s="8">
        <v>291</v>
      </c>
      <c r="B293" s="9" t="s">
        <v>591</v>
      </c>
      <c r="C293" s="10" t="s">
        <v>13</v>
      </c>
      <c r="D293" s="7" t="s">
        <v>592</v>
      </c>
      <c r="E293" s="10" t="s">
        <v>48</v>
      </c>
      <c r="F293" s="10" t="s">
        <v>106</v>
      </c>
      <c r="G293" s="10" t="s">
        <v>613</v>
      </c>
      <c r="H293" s="8">
        <v>2015</v>
      </c>
      <c r="I293" s="10" t="s">
        <v>82</v>
      </c>
      <c r="J293" s="12">
        <v>917025</v>
      </c>
      <c r="K293" s="10" t="s">
        <v>27</v>
      </c>
      <c r="L293" s="10" t="s">
        <v>28</v>
      </c>
      <c r="M293" s="10" t="s">
        <v>35</v>
      </c>
      <c r="N293" s="8">
        <f t="shared" ca="1" si="4"/>
        <v>8</v>
      </c>
      <c r="O293" s="11" t="s">
        <v>631</v>
      </c>
    </row>
    <row r="294" spans="1:15" x14ac:dyDescent="0.35">
      <c r="A294" s="8">
        <v>292</v>
      </c>
      <c r="B294" s="9" t="s">
        <v>414</v>
      </c>
      <c r="C294" s="10" t="s">
        <v>22</v>
      </c>
      <c r="D294" s="7" t="s">
        <v>593</v>
      </c>
      <c r="E294" s="10" t="s">
        <v>15</v>
      </c>
      <c r="F294" s="10" t="s">
        <v>60</v>
      </c>
      <c r="G294" s="10" t="s">
        <v>614</v>
      </c>
      <c r="H294" s="8">
        <v>2020</v>
      </c>
      <c r="I294" s="10" t="s">
        <v>17</v>
      </c>
      <c r="J294" s="12">
        <v>866322</v>
      </c>
      <c r="K294" s="10" t="s">
        <v>18</v>
      </c>
      <c r="L294" s="10" t="s">
        <v>28</v>
      </c>
      <c r="M294" s="10" t="s">
        <v>41</v>
      </c>
      <c r="N294" s="8">
        <f t="shared" ca="1" si="4"/>
        <v>8</v>
      </c>
      <c r="O294" s="11" t="s">
        <v>634</v>
      </c>
    </row>
    <row r="295" spans="1:15" x14ac:dyDescent="0.35">
      <c r="A295" s="8">
        <v>293</v>
      </c>
      <c r="B295" s="9" t="s">
        <v>594</v>
      </c>
      <c r="C295" s="10" t="s">
        <v>22</v>
      </c>
      <c r="D295" s="7" t="s">
        <v>595</v>
      </c>
      <c r="E295" s="10" t="s">
        <v>33</v>
      </c>
      <c r="F295" s="10" t="s">
        <v>90</v>
      </c>
      <c r="G295" s="10" t="s">
        <v>615</v>
      </c>
      <c r="H295" s="8">
        <v>2018</v>
      </c>
      <c r="I295" s="10" t="s">
        <v>57</v>
      </c>
      <c r="J295" s="12">
        <v>616486</v>
      </c>
      <c r="K295" s="10" t="s">
        <v>27</v>
      </c>
      <c r="L295" s="10" t="s">
        <v>28</v>
      </c>
      <c r="M295" s="10" t="s">
        <v>20</v>
      </c>
      <c r="N295" s="8">
        <f t="shared" ca="1" si="4"/>
        <v>9</v>
      </c>
      <c r="O295" s="11" t="s">
        <v>634</v>
      </c>
    </row>
    <row r="296" spans="1:15" x14ac:dyDescent="0.35">
      <c r="A296" s="8">
        <v>294</v>
      </c>
      <c r="B296" s="9" t="s">
        <v>596</v>
      </c>
      <c r="C296" s="10" t="s">
        <v>55</v>
      </c>
      <c r="D296" s="7" t="s">
        <v>597</v>
      </c>
      <c r="E296" s="10" t="s">
        <v>15</v>
      </c>
      <c r="F296" s="10" t="s">
        <v>39</v>
      </c>
      <c r="G296" s="10" t="s">
        <v>616</v>
      </c>
      <c r="H296" s="8">
        <v>2023</v>
      </c>
      <c r="I296" s="10" t="s">
        <v>82</v>
      </c>
      <c r="J296" s="12">
        <v>690945</v>
      </c>
      <c r="K296" s="10" t="s">
        <v>66</v>
      </c>
      <c r="L296" s="10" t="s">
        <v>28</v>
      </c>
      <c r="M296" s="10" t="s">
        <v>49</v>
      </c>
      <c r="N296" s="8">
        <f t="shared" ca="1" si="4"/>
        <v>8</v>
      </c>
      <c r="O296" s="11" t="s">
        <v>631</v>
      </c>
    </row>
    <row r="297" spans="1:15" x14ac:dyDescent="0.35">
      <c r="A297" s="8">
        <v>295</v>
      </c>
      <c r="B297" s="9" t="s">
        <v>598</v>
      </c>
      <c r="C297" s="10" t="s">
        <v>80</v>
      </c>
      <c r="D297" s="7" t="s">
        <v>599</v>
      </c>
      <c r="E297" s="10" t="s">
        <v>48</v>
      </c>
      <c r="F297" s="10" t="s">
        <v>39</v>
      </c>
      <c r="G297" s="10" t="s">
        <v>611</v>
      </c>
      <c r="H297" s="8">
        <v>2018</v>
      </c>
      <c r="I297" s="10" t="s">
        <v>26</v>
      </c>
      <c r="J297" s="12">
        <v>492340</v>
      </c>
      <c r="K297" s="10" t="s">
        <v>18</v>
      </c>
      <c r="L297" s="10" t="s">
        <v>28</v>
      </c>
      <c r="M297" s="10" t="s">
        <v>49</v>
      </c>
      <c r="N297" s="8">
        <f t="shared" ca="1" si="4"/>
        <v>5</v>
      </c>
      <c r="O297" s="11" t="s">
        <v>634</v>
      </c>
    </row>
    <row r="298" spans="1:15" x14ac:dyDescent="0.35">
      <c r="A298" s="8">
        <v>296</v>
      </c>
      <c r="B298" s="9" t="s">
        <v>198</v>
      </c>
      <c r="C298" s="10" t="s">
        <v>22</v>
      </c>
      <c r="D298" s="7" t="s">
        <v>600</v>
      </c>
      <c r="E298" s="10" t="s">
        <v>75</v>
      </c>
      <c r="F298" s="10" t="s">
        <v>39</v>
      </c>
      <c r="G298" s="10" t="s">
        <v>612</v>
      </c>
      <c r="H298" s="8">
        <v>2017</v>
      </c>
      <c r="I298" s="10" t="s">
        <v>17</v>
      </c>
      <c r="J298" s="12">
        <v>1486958</v>
      </c>
      <c r="K298" s="10" t="s">
        <v>18</v>
      </c>
      <c r="L298" s="10" t="s">
        <v>28</v>
      </c>
      <c r="M298" s="10" t="s">
        <v>41</v>
      </c>
      <c r="N298" s="8">
        <f t="shared" ca="1" si="4"/>
        <v>4</v>
      </c>
      <c r="O298" s="11" t="s">
        <v>632</v>
      </c>
    </row>
    <row r="299" spans="1:15" x14ac:dyDescent="0.35">
      <c r="A299" s="8">
        <v>297</v>
      </c>
      <c r="B299" s="9" t="s">
        <v>601</v>
      </c>
      <c r="C299" s="10" t="s">
        <v>37</v>
      </c>
      <c r="D299" s="7" t="s">
        <v>602</v>
      </c>
      <c r="E299" s="10" t="s">
        <v>48</v>
      </c>
      <c r="F299" s="10" t="s">
        <v>106</v>
      </c>
      <c r="G299" s="10" t="s">
        <v>613</v>
      </c>
      <c r="H299" s="8">
        <v>2024</v>
      </c>
      <c r="I299" s="10" t="s">
        <v>82</v>
      </c>
      <c r="J299" s="12">
        <v>323865</v>
      </c>
      <c r="K299" s="10" t="s">
        <v>66</v>
      </c>
      <c r="L299" s="10" t="s">
        <v>19</v>
      </c>
      <c r="M299" s="10" t="s">
        <v>29</v>
      </c>
      <c r="N299" s="8">
        <f t="shared" ca="1" si="4"/>
        <v>7</v>
      </c>
      <c r="O299" s="11" t="s">
        <v>633</v>
      </c>
    </row>
    <row r="300" spans="1:15" x14ac:dyDescent="0.35">
      <c r="A300" s="8">
        <v>298</v>
      </c>
      <c r="B300" s="9" t="s">
        <v>550</v>
      </c>
      <c r="C300" s="10" t="s">
        <v>62</v>
      </c>
      <c r="D300" s="7" t="s">
        <v>603</v>
      </c>
      <c r="E300" s="10" t="s">
        <v>75</v>
      </c>
      <c r="F300" s="10" t="s">
        <v>25</v>
      </c>
      <c r="G300" s="10" t="s">
        <v>614</v>
      </c>
      <c r="H300" s="8">
        <v>2015</v>
      </c>
      <c r="I300" s="10" t="s">
        <v>40</v>
      </c>
      <c r="J300" s="12">
        <v>1545695</v>
      </c>
      <c r="K300" s="10" t="s">
        <v>66</v>
      </c>
      <c r="L300" s="10" t="s">
        <v>19</v>
      </c>
      <c r="M300" s="10" t="s">
        <v>20</v>
      </c>
      <c r="N300" s="8">
        <f t="shared" ca="1" si="4"/>
        <v>4</v>
      </c>
      <c r="O300" s="11" t="s">
        <v>634</v>
      </c>
    </row>
    <row r="301" spans="1:15" x14ac:dyDescent="0.35">
      <c r="A301" s="8">
        <v>299</v>
      </c>
      <c r="B301" s="9" t="s">
        <v>604</v>
      </c>
      <c r="C301" s="10" t="s">
        <v>43</v>
      </c>
      <c r="D301" s="7" t="s">
        <v>605</v>
      </c>
      <c r="E301" s="10" t="s">
        <v>48</v>
      </c>
      <c r="F301" s="10" t="s">
        <v>106</v>
      </c>
      <c r="G301" s="10" t="s">
        <v>615</v>
      </c>
      <c r="H301" s="8">
        <v>2017</v>
      </c>
      <c r="I301" s="10" t="s">
        <v>17</v>
      </c>
      <c r="J301" s="12">
        <v>879643</v>
      </c>
      <c r="K301" s="10" t="s">
        <v>66</v>
      </c>
      <c r="L301" s="10" t="s">
        <v>28</v>
      </c>
      <c r="M301" s="10" t="s">
        <v>41</v>
      </c>
      <c r="N301" s="8">
        <f t="shared" ca="1" si="4"/>
        <v>10</v>
      </c>
      <c r="O301" s="11" t="s">
        <v>634</v>
      </c>
    </row>
    <row r="302" spans="1:15" x14ac:dyDescent="0.35">
      <c r="A302" s="8">
        <v>300</v>
      </c>
      <c r="B302" s="9" t="s">
        <v>462</v>
      </c>
      <c r="C302" s="10" t="s">
        <v>31</v>
      </c>
      <c r="D302" s="7" t="s">
        <v>606</v>
      </c>
      <c r="E302" s="10" t="s">
        <v>48</v>
      </c>
      <c r="F302" s="10" t="s">
        <v>45</v>
      </c>
      <c r="G302" s="10" t="s">
        <v>616</v>
      </c>
      <c r="H302" s="8">
        <v>2022</v>
      </c>
      <c r="I302" s="10" t="s">
        <v>40</v>
      </c>
      <c r="J302" s="12">
        <v>590270</v>
      </c>
      <c r="K302" s="10" t="s">
        <v>66</v>
      </c>
      <c r="L302" s="10" t="s">
        <v>19</v>
      </c>
      <c r="M302" s="10" t="s">
        <v>35</v>
      </c>
      <c r="N302" s="8">
        <f t="shared" ca="1" si="4"/>
        <v>9</v>
      </c>
      <c r="O302" s="11" t="s">
        <v>633</v>
      </c>
    </row>
  </sheetData>
  <mergeCells count="1">
    <mergeCell ref="A1:O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91A8F-EFAD-4100-BDC6-47DA6D306504}">
  <dimension ref="A2:AN74"/>
  <sheetViews>
    <sheetView topLeftCell="AF1" workbookViewId="0">
      <selection activeCell="AL6" sqref="AL6"/>
    </sheetView>
  </sheetViews>
  <sheetFormatPr defaultRowHeight="14.5" x14ac:dyDescent="0.35"/>
  <cols>
    <col min="1" max="1" width="14.36328125" bestFit="1" customWidth="1"/>
    <col min="2" max="2" width="13.7265625" bestFit="1" customWidth="1"/>
    <col min="3" max="3" width="3.81640625" customWidth="1"/>
    <col min="4" max="4" width="10.7265625" bestFit="1" customWidth="1"/>
    <col min="5" max="5" width="13.7265625" bestFit="1" customWidth="1"/>
    <col min="6" max="6" width="3.81640625" customWidth="1"/>
    <col min="7" max="7" width="13.08984375" bestFit="1" customWidth="1"/>
    <col min="8" max="8" width="13.7265625" bestFit="1" customWidth="1"/>
    <col min="9" max="9" width="3.81640625" customWidth="1"/>
    <col min="10" max="10" width="14.7265625" bestFit="1" customWidth="1"/>
    <col min="11" max="11" width="13.6328125" bestFit="1" customWidth="1"/>
    <col min="12" max="12" width="13.7265625" bestFit="1" customWidth="1"/>
    <col min="13" max="13" width="3.81640625" customWidth="1"/>
    <col min="14" max="14" width="13.08984375" bestFit="1" customWidth="1"/>
    <col min="15" max="15" width="17.08984375" bestFit="1" customWidth="1"/>
    <col min="16" max="16" width="3.81640625" customWidth="1"/>
    <col min="17" max="17" width="12.81640625" bestFit="1" customWidth="1"/>
    <col min="18" max="18" width="17.08984375" bestFit="1" customWidth="1"/>
    <col min="19" max="19" width="3.81640625" customWidth="1"/>
    <col min="20" max="20" width="14.7265625" bestFit="1" customWidth="1"/>
    <col min="21" max="21" width="8.6328125" bestFit="1" customWidth="1"/>
    <col min="22" max="22" width="13.7265625" bestFit="1" customWidth="1"/>
    <col min="23" max="23" width="3.81640625" customWidth="1"/>
    <col min="24" max="24" width="12.54296875" bestFit="1" customWidth="1"/>
    <col min="25" max="25" width="13.7265625" bestFit="1" customWidth="1"/>
    <col min="26" max="26" width="3.81640625" customWidth="1"/>
    <col min="27" max="27" width="11.1796875" bestFit="1" customWidth="1"/>
    <col min="28" max="28" width="13.7265625" bestFit="1" customWidth="1"/>
    <col min="29" max="29" width="3.81640625" customWidth="1"/>
    <col min="30" max="30" width="12.36328125" bestFit="1" customWidth="1"/>
    <col min="31" max="31" width="13.7265625" bestFit="1" customWidth="1"/>
    <col min="32" max="32" width="3.81640625" customWidth="1"/>
    <col min="33" max="33" width="12.36328125" bestFit="1" customWidth="1"/>
    <col min="34" max="34" width="17.36328125" bestFit="1" customWidth="1"/>
    <col min="36" max="36" width="13.08984375" bestFit="1" customWidth="1"/>
    <col min="37" max="37" width="12.81640625" bestFit="1" customWidth="1"/>
    <col min="39" max="39" width="26.08984375" customWidth="1"/>
    <col min="40" max="40" width="14.6328125" bestFit="1" customWidth="1"/>
  </cols>
  <sheetData>
    <row r="2" spans="1:40" x14ac:dyDescent="0.35">
      <c r="X2" s="22" t="s">
        <v>635</v>
      </c>
      <c r="Y2" s="22"/>
    </row>
    <row r="3" spans="1:40" x14ac:dyDescent="0.35">
      <c r="A3" s="3" t="s">
        <v>5</v>
      </c>
      <c r="B3" s="3" t="s">
        <v>9</v>
      </c>
      <c r="D3" s="3" t="s">
        <v>5</v>
      </c>
      <c r="E3" s="1" t="s">
        <v>609</v>
      </c>
      <c r="G3" s="3" t="s">
        <v>2</v>
      </c>
      <c r="H3" s="1" t="s">
        <v>609</v>
      </c>
      <c r="J3" s="3" t="s">
        <v>5</v>
      </c>
      <c r="K3" s="3" t="s">
        <v>10</v>
      </c>
      <c r="L3" s="1" t="s">
        <v>609</v>
      </c>
      <c r="N3" s="3" t="s">
        <v>2</v>
      </c>
      <c r="O3" s="1" t="s">
        <v>627</v>
      </c>
      <c r="Q3" s="3" t="s">
        <v>4</v>
      </c>
      <c r="R3" s="1" t="s">
        <v>627</v>
      </c>
      <c r="T3" s="3" t="s">
        <v>5</v>
      </c>
      <c r="U3" s="3" t="s">
        <v>610</v>
      </c>
      <c r="V3" s="1" t="s">
        <v>609</v>
      </c>
      <c r="X3" s="3" t="s">
        <v>1</v>
      </c>
      <c r="Y3" s="1" t="s">
        <v>609</v>
      </c>
      <c r="AA3" s="3" t="s">
        <v>11</v>
      </c>
      <c r="AB3" s="1" t="s">
        <v>609</v>
      </c>
      <c r="AD3" s="14" t="s">
        <v>636</v>
      </c>
      <c r="AE3" t="s">
        <v>627</v>
      </c>
      <c r="AG3" s="14" t="s">
        <v>636</v>
      </c>
      <c r="AH3" t="s">
        <v>637</v>
      </c>
    </row>
    <row r="4" spans="1:40" x14ac:dyDescent="0.35">
      <c r="A4" s="1" t="s">
        <v>39</v>
      </c>
      <c r="B4" s="1" t="s">
        <v>18</v>
      </c>
      <c r="D4" s="1" t="s">
        <v>39</v>
      </c>
      <c r="E4" s="4">
        <v>38133727</v>
      </c>
      <c r="G4" s="1" t="s">
        <v>62</v>
      </c>
      <c r="H4" s="4">
        <v>25541940</v>
      </c>
      <c r="J4" s="1" t="s">
        <v>39</v>
      </c>
      <c r="K4" s="1" t="s">
        <v>28</v>
      </c>
      <c r="L4" s="4">
        <v>14850015</v>
      </c>
      <c r="N4" s="1" t="s">
        <v>62</v>
      </c>
      <c r="O4" s="4">
        <v>22</v>
      </c>
      <c r="Q4" s="1" t="s">
        <v>33</v>
      </c>
      <c r="R4" s="4">
        <v>57</v>
      </c>
      <c r="T4" s="1" t="s">
        <v>39</v>
      </c>
      <c r="U4" s="1" t="s">
        <v>613</v>
      </c>
      <c r="V4" s="4">
        <v>7998187</v>
      </c>
      <c r="X4" s="1" t="s">
        <v>550</v>
      </c>
      <c r="Y4" s="4">
        <v>3256186</v>
      </c>
      <c r="AA4" s="1" t="s">
        <v>29</v>
      </c>
      <c r="AB4" s="4">
        <v>71451080</v>
      </c>
      <c r="AD4" s="15" t="s">
        <v>631</v>
      </c>
      <c r="AE4" s="16">
        <v>72</v>
      </c>
      <c r="AG4" s="15" t="s">
        <v>29</v>
      </c>
      <c r="AH4" s="16">
        <v>433</v>
      </c>
    </row>
    <row r="5" spans="1:40" x14ac:dyDescent="0.35">
      <c r="A5" s="1"/>
      <c r="B5" s="1" t="s">
        <v>27</v>
      </c>
      <c r="D5" s="1" t="s">
        <v>106</v>
      </c>
      <c r="E5" s="4">
        <v>26097422</v>
      </c>
      <c r="G5" s="1" t="s">
        <v>31</v>
      </c>
      <c r="H5" s="4">
        <v>30974243</v>
      </c>
      <c r="J5" s="1"/>
      <c r="K5" s="1" t="s">
        <v>19</v>
      </c>
      <c r="L5" s="4">
        <v>23283712</v>
      </c>
      <c r="N5" s="1" t="s">
        <v>31</v>
      </c>
      <c r="O5" s="4">
        <v>29</v>
      </c>
      <c r="Q5" s="1" t="s">
        <v>15</v>
      </c>
      <c r="R5" s="4">
        <v>43</v>
      </c>
      <c r="T5" s="1"/>
      <c r="U5" s="1" t="s">
        <v>611</v>
      </c>
      <c r="V5" s="4">
        <v>5592428</v>
      </c>
      <c r="X5" s="1" t="s">
        <v>414</v>
      </c>
      <c r="Y5" s="4">
        <v>2828602</v>
      </c>
      <c r="AA5" s="1" t="s">
        <v>49</v>
      </c>
      <c r="AB5" s="4">
        <v>54872045</v>
      </c>
      <c r="AD5" s="15" t="s">
        <v>633</v>
      </c>
      <c r="AE5" s="16">
        <v>53</v>
      </c>
      <c r="AG5" s="15" t="s">
        <v>49</v>
      </c>
      <c r="AH5" s="16">
        <v>336</v>
      </c>
      <c r="AM5" s="15" t="s">
        <v>631</v>
      </c>
      <c r="AN5" s="17">
        <v>80914180</v>
      </c>
    </row>
    <row r="6" spans="1:40" x14ac:dyDescent="0.35">
      <c r="A6" s="1"/>
      <c r="B6" s="1" t="s">
        <v>66</v>
      </c>
      <c r="D6" s="1" t="s">
        <v>60</v>
      </c>
      <c r="E6" s="4">
        <v>19063690</v>
      </c>
      <c r="G6" s="1" t="s">
        <v>13</v>
      </c>
      <c r="H6" s="4">
        <v>34447719</v>
      </c>
      <c r="J6" s="1" t="s">
        <v>617</v>
      </c>
      <c r="K6" s="1"/>
      <c r="L6" s="4">
        <v>38133727</v>
      </c>
      <c r="N6" s="1" t="s">
        <v>13</v>
      </c>
      <c r="O6" s="4">
        <v>32</v>
      </c>
      <c r="Q6" s="1" t="s">
        <v>48</v>
      </c>
      <c r="R6" s="4">
        <v>66</v>
      </c>
      <c r="T6" s="1"/>
      <c r="U6" s="1" t="s">
        <v>616</v>
      </c>
      <c r="V6" s="4">
        <v>10601365</v>
      </c>
      <c r="X6" s="1" t="s">
        <v>514</v>
      </c>
      <c r="Y6" s="4">
        <v>2969926</v>
      </c>
      <c r="AA6" s="1" t="s">
        <v>20</v>
      </c>
      <c r="AB6" s="4">
        <v>70066385</v>
      </c>
      <c r="AD6" s="15" t="s">
        <v>630</v>
      </c>
      <c r="AE6" s="16">
        <v>56</v>
      </c>
      <c r="AG6" s="15" t="s">
        <v>20</v>
      </c>
      <c r="AH6" s="16">
        <v>406</v>
      </c>
      <c r="AM6" s="15" t="s">
        <v>633</v>
      </c>
      <c r="AN6" s="17">
        <v>54688941</v>
      </c>
    </row>
    <row r="7" spans="1:40" x14ac:dyDescent="0.35">
      <c r="A7" s="1" t="s">
        <v>617</v>
      </c>
      <c r="B7" s="1"/>
      <c r="D7" s="1" t="s">
        <v>90</v>
      </c>
      <c r="E7" s="4">
        <v>38004456</v>
      </c>
      <c r="G7" s="1" t="s">
        <v>51</v>
      </c>
      <c r="H7" s="4">
        <v>42200341</v>
      </c>
      <c r="J7" s="1" t="s">
        <v>106</v>
      </c>
      <c r="K7" s="1" t="s">
        <v>28</v>
      </c>
      <c r="L7" s="4">
        <v>15831344</v>
      </c>
      <c r="N7" s="1" t="s">
        <v>51</v>
      </c>
      <c r="O7" s="4">
        <v>35</v>
      </c>
      <c r="Q7" s="1" t="s">
        <v>75</v>
      </c>
      <c r="R7" s="4">
        <v>62</v>
      </c>
      <c r="T7" s="1"/>
      <c r="U7" s="1" t="s">
        <v>612</v>
      </c>
      <c r="V7" s="4">
        <v>3908949</v>
      </c>
      <c r="X7" s="1" t="s">
        <v>151</v>
      </c>
      <c r="Y7" s="4">
        <v>2857461</v>
      </c>
      <c r="AA7" s="1" t="s">
        <v>35</v>
      </c>
      <c r="AB7" s="4">
        <v>62881431</v>
      </c>
      <c r="AD7" s="15" t="s">
        <v>634</v>
      </c>
      <c r="AE7" s="16">
        <v>58</v>
      </c>
      <c r="AG7" s="15" t="s">
        <v>35</v>
      </c>
      <c r="AH7" s="16">
        <v>398</v>
      </c>
      <c r="AM7" s="15" t="s">
        <v>630</v>
      </c>
      <c r="AN7" s="17">
        <v>62998726</v>
      </c>
    </row>
    <row r="8" spans="1:40" x14ac:dyDescent="0.35">
      <c r="A8" s="1" t="s">
        <v>106</v>
      </c>
      <c r="B8" s="1" t="s">
        <v>18</v>
      </c>
      <c r="D8" s="1" t="s">
        <v>87</v>
      </c>
      <c r="E8" s="4">
        <v>29067731</v>
      </c>
      <c r="G8" s="1" t="s">
        <v>43</v>
      </c>
      <c r="H8" s="4">
        <v>28040150</v>
      </c>
      <c r="J8" s="1"/>
      <c r="K8" s="1" t="s">
        <v>19</v>
      </c>
      <c r="L8" s="4">
        <v>10266078</v>
      </c>
      <c r="N8" s="1" t="s">
        <v>43</v>
      </c>
      <c r="O8" s="4">
        <v>27</v>
      </c>
      <c r="Q8" s="1" t="s">
        <v>24</v>
      </c>
      <c r="R8" s="4">
        <v>72</v>
      </c>
      <c r="T8" s="1"/>
      <c r="U8" s="1" t="s">
        <v>615</v>
      </c>
      <c r="V8" s="4">
        <v>5045219</v>
      </c>
      <c r="X8" s="1" t="s">
        <v>248</v>
      </c>
      <c r="Y8" s="4">
        <v>2783188</v>
      </c>
      <c r="AA8" s="1" t="s">
        <v>41</v>
      </c>
      <c r="AB8" s="4">
        <v>79075452</v>
      </c>
      <c r="AD8" s="15" t="s">
        <v>632</v>
      </c>
      <c r="AE8" s="16">
        <v>61</v>
      </c>
      <c r="AG8" s="15" t="s">
        <v>41</v>
      </c>
      <c r="AH8" s="16">
        <v>482</v>
      </c>
      <c r="AM8" s="15" t="s">
        <v>634</v>
      </c>
      <c r="AN8" s="17">
        <v>64734838</v>
      </c>
    </row>
    <row r="9" spans="1:40" x14ac:dyDescent="0.35">
      <c r="A9" s="1"/>
      <c r="B9" s="1" t="s">
        <v>27</v>
      </c>
      <c r="D9" s="1" t="s">
        <v>25</v>
      </c>
      <c r="E9" s="4">
        <v>29657000</v>
      </c>
      <c r="G9" s="1" t="s">
        <v>77</v>
      </c>
      <c r="H9" s="4">
        <v>43211734</v>
      </c>
      <c r="J9" s="1" t="s">
        <v>618</v>
      </c>
      <c r="K9" s="1"/>
      <c r="L9" s="4">
        <v>26097422</v>
      </c>
      <c r="N9" s="1" t="s">
        <v>77</v>
      </c>
      <c r="O9" s="4">
        <v>35</v>
      </c>
      <c r="Q9" s="1" t="s">
        <v>608</v>
      </c>
      <c r="R9" s="4">
        <v>300</v>
      </c>
      <c r="T9" s="1"/>
      <c r="U9" s="1" t="s">
        <v>614</v>
      </c>
      <c r="V9" s="4">
        <v>4987579</v>
      </c>
      <c r="X9" s="1" t="s">
        <v>135</v>
      </c>
      <c r="Y9" s="4">
        <v>3936065</v>
      </c>
      <c r="AA9" s="1" t="s">
        <v>608</v>
      </c>
      <c r="AB9" s="4">
        <v>338346393</v>
      </c>
      <c r="AD9" s="15" t="s">
        <v>608</v>
      </c>
      <c r="AE9" s="16">
        <v>300</v>
      </c>
      <c r="AG9" s="15" t="s">
        <v>608</v>
      </c>
      <c r="AH9" s="16">
        <v>2055</v>
      </c>
      <c r="AM9" s="15" t="s">
        <v>632</v>
      </c>
      <c r="AN9" s="17">
        <v>75009708</v>
      </c>
    </row>
    <row r="10" spans="1:40" x14ac:dyDescent="0.35">
      <c r="A10" s="1"/>
      <c r="B10" s="1" t="s">
        <v>66</v>
      </c>
      <c r="D10" s="1" t="s">
        <v>45</v>
      </c>
      <c r="E10" s="4">
        <v>44794905</v>
      </c>
      <c r="G10" s="1" t="s">
        <v>22</v>
      </c>
      <c r="H10" s="4">
        <v>38190151</v>
      </c>
      <c r="J10" s="1" t="s">
        <v>60</v>
      </c>
      <c r="K10" s="1" t="s">
        <v>28</v>
      </c>
      <c r="L10" s="4">
        <v>10295962</v>
      </c>
      <c r="N10" s="1" t="s">
        <v>22</v>
      </c>
      <c r="O10" s="4">
        <v>33</v>
      </c>
      <c r="T10" s="1" t="s">
        <v>617</v>
      </c>
      <c r="U10" s="1"/>
      <c r="V10" s="4">
        <v>38133727</v>
      </c>
      <c r="X10" s="1" t="s">
        <v>147</v>
      </c>
      <c r="Y10" s="4">
        <v>3992425</v>
      </c>
      <c r="AN10" s="18"/>
    </row>
    <row r="11" spans="1:40" x14ac:dyDescent="0.35">
      <c r="A11" s="1" t="s">
        <v>618</v>
      </c>
      <c r="B11" s="1"/>
      <c r="D11" s="1" t="s">
        <v>34</v>
      </c>
      <c r="E11" s="4">
        <v>32158749</v>
      </c>
      <c r="G11" s="1" t="s">
        <v>80</v>
      </c>
      <c r="H11" s="4">
        <v>28959993</v>
      </c>
      <c r="J11" s="1"/>
      <c r="K11" s="1" t="s">
        <v>19</v>
      </c>
      <c r="L11" s="4">
        <v>8767728</v>
      </c>
      <c r="N11" s="1" t="s">
        <v>80</v>
      </c>
      <c r="O11" s="4">
        <v>28</v>
      </c>
      <c r="T11" s="1" t="s">
        <v>106</v>
      </c>
      <c r="U11" s="1" t="s">
        <v>613</v>
      </c>
      <c r="V11" s="4">
        <v>3551762</v>
      </c>
      <c r="X11" s="1" t="s">
        <v>161</v>
      </c>
      <c r="Y11" s="4">
        <v>4296854</v>
      </c>
      <c r="AD11" s="14" t="s">
        <v>636</v>
      </c>
      <c r="AE11" t="s">
        <v>609</v>
      </c>
    </row>
    <row r="12" spans="1:40" x14ac:dyDescent="0.35">
      <c r="A12" s="1" t="s">
        <v>60</v>
      </c>
      <c r="B12" s="1" t="s">
        <v>18</v>
      </c>
      <c r="D12" s="1" t="s">
        <v>16</v>
      </c>
      <c r="E12" s="4">
        <v>46321733</v>
      </c>
      <c r="G12" s="1" t="s">
        <v>37</v>
      </c>
      <c r="H12" s="4">
        <v>36199268</v>
      </c>
      <c r="J12" s="1" t="s">
        <v>619</v>
      </c>
      <c r="K12" s="1"/>
      <c r="L12" s="4">
        <v>19063690</v>
      </c>
      <c r="N12" s="1" t="s">
        <v>37</v>
      </c>
      <c r="O12" s="4">
        <v>30</v>
      </c>
      <c r="T12" s="1"/>
      <c r="U12" s="1" t="s">
        <v>611</v>
      </c>
      <c r="V12" s="4">
        <v>6631330</v>
      </c>
      <c r="X12" s="1" t="s">
        <v>163</v>
      </c>
      <c r="Y12" s="4">
        <v>3013496</v>
      </c>
      <c r="AD12" s="15" t="s">
        <v>631</v>
      </c>
      <c r="AE12" s="17">
        <v>80914180</v>
      </c>
    </row>
    <row r="13" spans="1:40" x14ac:dyDescent="0.35">
      <c r="A13" s="1"/>
      <c r="B13" s="1" t="s">
        <v>27</v>
      </c>
      <c r="D13" s="1" t="s">
        <v>53</v>
      </c>
      <c r="E13" s="4">
        <v>35046980</v>
      </c>
      <c r="G13" s="1" t="s">
        <v>55</v>
      </c>
      <c r="H13" s="4">
        <v>30580854</v>
      </c>
      <c r="J13" s="1" t="s">
        <v>90</v>
      </c>
      <c r="K13" s="1" t="s">
        <v>28</v>
      </c>
      <c r="L13" s="4">
        <v>19108843</v>
      </c>
      <c r="N13" s="1" t="s">
        <v>55</v>
      </c>
      <c r="O13" s="4">
        <v>29</v>
      </c>
      <c r="T13" s="1"/>
      <c r="U13" s="1" t="s">
        <v>616</v>
      </c>
      <c r="V13" s="4">
        <v>2673993</v>
      </c>
      <c r="X13" s="1" t="s">
        <v>332</v>
      </c>
      <c r="Y13" s="4">
        <v>3815826</v>
      </c>
      <c r="AD13" s="15" t="s">
        <v>633</v>
      </c>
      <c r="AE13" s="17">
        <v>54688941</v>
      </c>
    </row>
    <row r="14" spans="1:40" x14ac:dyDescent="0.35">
      <c r="A14" s="1"/>
      <c r="B14" s="1" t="s">
        <v>66</v>
      </c>
      <c r="D14" s="1" t="s">
        <v>608</v>
      </c>
      <c r="E14" s="4">
        <v>338346393</v>
      </c>
      <c r="G14" s="1" t="s">
        <v>608</v>
      </c>
      <c r="H14" s="4">
        <v>338346393</v>
      </c>
      <c r="J14" s="1"/>
      <c r="K14" s="1" t="s">
        <v>19</v>
      </c>
      <c r="L14" s="4">
        <v>18895613</v>
      </c>
      <c r="N14" s="1" t="s">
        <v>608</v>
      </c>
      <c r="O14" s="4">
        <v>300</v>
      </c>
      <c r="T14" s="1"/>
      <c r="U14" s="1" t="s">
        <v>612</v>
      </c>
      <c r="V14" s="4">
        <v>6459788</v>
      </c>
      <c r="X14" s="1" t="s">
        <v>608</v>
      </c>
      <c r="Y14" s="4">
        <v>33750029</v>
      </c>
      <c r="AD14" s="15" t="s">
        <v>630</v>
      </c>
      <c r="AE14" s="17">
        <v>62998726</v>
      </c>
    </row>
    <row r="15" spans="1:40" x14ac:dyDescent="0.35">
      <c r="A15" s="1" t="s">
        <v>619</v>
      </c>
      <c r="B15" s="1"/>
      <c r="J15" s="1" t="s">
        <v>620</v>
      </c>
      <c r="K15" s="1"/>
      <c r="L15" s="4">
        <v>38004456</v>
      </c>
      <c r="T15" s="1"/>
      <c r="U15" s="1" t="s">
        <v>615</v>
      </c>
      <c r="V15" s="4">
        <v>2075323</v>
      </c>
      <c r="AD15" s="15" t="s">
        <v>634</v>
      </c>
      <c r="AE15" s="17">
        <v>64734838</v>
      </c>
    </row>
    <row r="16" spans="1:40" x14ac:dyDescent="0.35">
      <c r="A16" s="1" t="s">
        <v>90</v>
      </c>
      <c r="B16" s="1" t="s">
        <v>18</v>
      </c>
      <c r="J16" s="1" t="s">
        <v>87</v>
      </c>
      <c r="K16" s="1" t="s">
        <v>28</v>
      </c>
      <c r="L16" s="4">
        <v>17269041</v>
      </c>
      <c r="T16" s="1"/>
      <c r="U16" s="1" t="s">
        <v>614</v>
      </c>
      <c r="V16" s="4">
        <v>4705226</v>
      </c>
      <c r="AD16" s="15" t="s">
        <v>632</v>
      </c>
      <c r="AE16" s="17">
        <v>75009708</v>
      </c>
    </row>
    <row r="17" spans="1:31" x14ac:dyDescent="0.35">
      <c r="A17" s="1"/>
      <c r="B17" s="1" t="s">
        <v>27</v>
      </c>
      <c r="J17" s="1"/>
      <c r="K17" s="1" t="s">
        <v>19</v>
      </c>
      <c r="L17" s="4">
        <v>11798690</v>
      </c>
      <c r="T17" s="1" t="s">
        <v>618</v>
      </c>
      <c r="U17" s="1"/>
      <c r="V17" s="4">
        <v>26097422</v>
      </c>
      <c r="AD17" s="15" t="s">
        <v>608</v>
      </c>
      <c r="AE17" s="17">
        <v>338346393</v>
      </c>
    </row>
    <row r="18" spans="1:31" x14ac:dyDescent="0.35">
      <c r="A18" s="1"/>
      <c r="B18" s="1" t="s">
        <v>66</v>
      </c>
      <c r="J18" s="1" t="s">
        <v>621</v>
      </c>
      <c r="K18" s="1"/>
      <c r="L18" s="4">
        <v>29067731</v>
      </c>
      <c r="T18" s="1" t="s">
        <v>60</v>
      </c>
      <c r="U18" s="1" t="s">
        <v>613</v>
      </c>
      <c r="V18" s="4">
        <v>888437</v>
      </c>
    </row>
    <row r="19" spans="1:31" x14ac:dyDescent="0.35">
      <c r="A19" s="1" t="s">
        <v>620</v>
      </c>
      <c r="B19" s="1"/>
      <c r="J19" s="1" t="s">
        <v>25</v>
      </c>
      <c r="K19" s="1" t="s">
        <v>28</v>
      </c>
      <c r="L19" s="4">
        <v>14317322</v>
      </c>
      <c r="T19" s="1"/>
      <c r="U19" s="1" t="s">
        <v>611</v>
      </c>
      <c r="V19" s="4">
        <v>2056930</v>
      </c>
    </row>
    <row r="20" spans="1:31" x14ac:dyDescent="0.35">
      <c r="A20" s="1" t="s">
        <v>87</v>
      </c>
      <c r="B20" s="1" t="s">
        <v>18</v>
      </c>
      <c r="J20" s="1"/>
      <c r="K20" s="1" t="s">
        <v>19</v>
      </c>
      <c r="L20" s="4">
        <v>15339678</v>
      </c>
      <c r="T20" s="1"/>
      <c r="U20" s="1" t="s">
        <v>616</v>
      </c>
      <c r="V20" s="4">
        <v>2301270</v>
      </c>
    </row>
    <row r="21" spans="1:31" x14ac:dyDescent="0.35">
      <c r="A21" s="1"/>
      <c r="B21" s="1" t="s">
        <v>27</v>
      </c>
      <c r="J21" s="1" t="s">
        <v>622</v>
      </c>
      <c r="K21" s="1"/>
      <c r="L21" s="4">
        <v>29657000</v>
      </c>
      <c r="T21" s="1"/>
      <c r="U21" s="1" t="s">
        <v>612</v>
      </c>
      <c r="V21" s="4">
        <v>3334360</v>
      </c>
    </row>
    <row r="22" spans="1:31" x14ac:dyDescent="0.35">
      <c r="A22" s="1"/>
      <c r="B22" s="1" t="s">
        <v>66</v>
      </c>
      <c r="J22" s="1" t="s">
        <v>45</v>
      </c>
      <c r="K22" s="1" t="s">
        <v>28</v>
      </c>
      <c r="L22" s="4">
        <v>29143451</v>
      </c>
      <c r="T22" s="1"/>
      <c r="U22" s="1" t="s">
        <v>615</v>
      </c>
      <c r="V22" s="4">
        <v>6919156</v>
      </c>
    </row>
    <row r="23" spans="1:31" x14ac:dyDescent="0.35">
      <c r="A23" s="1" t="s">
        <v>621</v>
      </c>
      <c r="B23" s="1"/>
      <c r="J23" s="1"/>
      <c r="K23" s="1" t="s">
        <v>19</v>
      </c>
      <c r="L23" s="4">
        <v>15651454</v>
      </c>
      <c r="T23" s="1"/>
      <c r="U23" s="1" t="s">
        <v>614</v>
      </c>
      <c r="V23" s="4">
        <v>3563537</v>
      </c>
    </row>
    <row r="24" spans="1:31" x14ac:dyDescent="0.35">
      <c r="A24" s="1" t="s">
        <v>25</v>
      </c>
      <c r="B24" s="1" t="s">
        <v>18</v>
      </c>
      <c r="J24" s="1" t="s">
        <v>623</v>
      </c>
      <c r="K24" s="1"/>
      <c r="L24" s="4">
        <v>44794905</v>
      </c>
      <c r="T24" s="1" t="s">
        <v>619</v>
      </c>
      <c r="U24" s="1"/>
      <c r="V24" s="4">
        <v>19063690</v>
      </c>
    </row>
    <row r="25" spans="1:31" x14ac:dyDescent="0.35">
      <c r="A25" s="1"/>
      <c r="B25" s="1" t="s">
        <v>27</v>
      </c>
      <c r="J25" s="1" t="s">
        <v>34</v>
      </c>
      <c r="K25" s="1" t="s">
        <v>28</v>
      </c>
      <c r="L25" s="4">
        <v>12771869</v>
      </c>
      <c r="T25" s="1" t="s">
        <v>90</v>
      </c>
      <c r="U25" s="1" t="s">
        <v>613</v>
      </c>
      <c r="V25" s="4">
        <v>6642747</v>
      </c>
    </row>
    <row r="26" spans="1:31" x14ac:dyDescent="0.35">
      <c r="A26" s="1"/>
      <c r="B26" s="1" t="s">
        <v>66</v>
      </c>
      <c r="J26" s="1"/>
      <c r="K26" s="1" t="s">
        <v>19</v>
      </c>
      <c r="L26" s="4">
        <v>19386880</v>
      </c>
      <c r="T26" s="1"/>
      <c r="U26" s="1" t="s">
        <v>611</v>
      </c>
      <c r="V26" s="4">
        <v>10348802</v>
      </c>
    </row>
    <row r="27" spans="1:31" x14ac:dyDescent="0.35">
      <c r="A27" s="1" t="s">
        <v>622</v>
      </c>
      <c r="B27" s="1"/>
      <c r="J27" s="1" t="s">
        <v>624</v>
      </c>
      <c r="K27" s="1"/>
      <c r="L27" s="4">
        <v>32158749</v>
      </c>
      <c r="T27" s="1"/>
      <c r="U27" s="1" t="s">
        <v>616</v>
      </c>
      <c r="V27" s="4">
        <v>4933844</v>
      </c>
    </row>
    <row r="28" spans="1:31" x14ac:dyDescent="0.35">
      <c r="A28" s="1" t="s">
        <v>45</v>
      </c>
      <c r="B28" s="1" t="s">
        <v>18</v>
      </c>
      <c r="J28" s="1" t="s">
        <v>16</v>
      </c>
      <c r="K28" s="1" t="s">
        <v>28</v>
      </c>
      <c r="L28" s="4">
        <v>24034736</v>
      </c>
      <c r="T28" s="1"/>
      <c r="U28" s="1" t="s">
        <v>612</v>
      </c>
      <c r="V28" s="4">
        <v>4176129</v>
      </c>
    </row>
    <row r="29" spans="1:31" x14ac:dyDescent="0.35">
      <c r="A29" s="1"/>
      <c r="B29" s="1" t="s">
        <v>27</v>
      </c>
      <c r="J29" s="1"/>
      <c r="K29" s="1" t="s">
        <v>19</v>
      </c>
      <c r="L29" s="4">
        <v>22286997</v>
      </c>
      <c r="T29" s="1"/>
      <c r="U29" s="1" t="s">
        <v>615</v>
      </c>
      <c r="V29" s="4">
        <v>3271843</v>
      </c>
    </row>
    <row r="30" spans="1:31" x14ac:dyDescent="0.35">
      <c r="A30" s="1"/>
      <c r="B30" s="1" t="s">
        <v>66</v>
      </c>
      <c r="J30" s="1" t="s">
        <v>625</v>
      </c>
      <c r="K30" s="1"/>
      <c r="L30" s="4">
        <v>46321733</v>
      </c>
      <c r="T30" s="1"/>
      <c r="U30" s="1" t="s">
        <v>614</v>
      </c>
      <c r="V30" s="4">
        <v>8631091</v>
      </c>
    </row>
    <row r="31" spans="1:31" x14ac:dyDescent="0.35">
      <c r="A31" s="1" t="s">
        <v>623</v>
      </c>
      <c r="B31" s="1"/>
      <c r="J31" s="1" t="s">
        <v>53</v>
      </c>
      <c r="K31" s="1" t="s">
        <v>28</v>
      </c>
      <c r="L31" s="4">
        <v>19228239</v>
      </c>
      <c r="T31" s="1" t="s">
        <v>620</v>
      </c>
      <c r="U31" s="1"/>
      <c r="V31" s="4">
        <v>38004456</v>
      </c>
    </row>
    <row r="32" spans="1:31" x14ac:dyDescent="0.35">
      <c r="A32" s="1" t="s">
        <v>34</v>
      </c>
      <c r="B32" s="1" t="s">
        <v>18</v>
      </c>
      <c r="J32" s="1"/>
      <c r="K32" s="1" t="s">
        <v>19</v>
      </c>
      <c r="L32" s="4">
        <v>15818741</v>
      </c>
      <c r="T32" s="1" t="s">
        <v>87</v>
      </c>
      <c r="U32" s="1" t="s">
        <v>613</v>
      </c>
      <c r="V32" s="4">
        <v>3584730</v>
      </c>
    </row>
    <row r="33" spans="1:22" x14ac:dyDescent="0.35">
      <c r="A33" s="1"/>
      <c r="B33" s="1" t="s">
        <v>27</v>
      </c>
      <c r="J33" s="1" t="s">
        <v>626</v>
      </c>
      <c r="K33" s="1"/>
      <c r="L33" s="4">
        <v>35046980</v>
      </c>
      <c r="T33" s="1"/>
      <c r="U33" s="1" t="s">
        <v>611</v>
      </c>
      <c r="V33" s="4">
        <v>5734352</v>
      </c>
    </row>
    <row r="34" spans="1:22" x14ac:dyDescent="0.35">
      <c r="A34" s="1"/>
      <c r="B34" s="1" t="s">
        <v>66</v>
      </c>
      <c r="J34" s="1" t="s">
        <v>608</v>
      </c>
      <c r="K34" s="1"/>
      <c r="L34" s="4">
        <v>338346393</v>
      </c>
      <c r="T34" s="1"/>
      <c r="U34" s="1" t="s">
        <v>616</v>
      </c>
      <c r="V34" s="4">
        <v>3969142</v>
      </c>
    </row>
    <row r="35" spans="1:22" x14ac:dyDescent="0.35">
      <c r="A35" s="1" t="s">
        <v>624</v>
      </c>
      <c r="B35" s="1"/>
      <c r="T35" s="1"/>
      <c r="U35" s="1" t="s">
        <v>612</v>
      </c>
      <c r="V35" s="4">
        <v>7099586</v>
      </c>
    </row>
    <row r="36" spans="1:22" x14ac:dyDescent="0.35">
      <c r="A36" s="1" t="s">
        <v>16</v>
      </c>
      <c r="B36" s="1" t="s">
        <v>18</v>
      </c>
      <c r="T36" s="1"/>
      <c r="U36" s="1" t="s">
        <v>615</v>
      </c>
      <c r="V36" s="4">
        <v>3690436</v>
      </c>
    </row>
    <row r="37" spans="1:22" x14ac:dyDescent="0.35">
      <c r="A37" s="1"/>
      <c r="B37" s="1" t="s">
        <v>27</v>
      </c>
      <c r="T37" s="1"/>
      <c r="U37" s="1" t="s">
        <v>614</v>
      </c>
      <c r="V37" s="4">
        <v>4989485</v>
      </c>
    </row>
    <row r="38" spans="1:22" x14ac:dyDescent="0.35">
      <c r="A38" s="1"/>
      <c r="B38" s="1" t="s">
        <v>66</v>
      </c>
      <c r="T38" s="1" t="s">
        <v>621</v>
      </c>
      <c r="U38" s="1"/>
      <c r="V38" s="4">
        <v>29067731</v>
      </c>
    </row>
    <row r="39" spans="1:22" x14ac:dyDescent="0.35">
      <c r="A39" s="1" t="s">
        <v>625</v>
      </c>
      <c r="B39" s="1"/>
      <c r="T39" s="1" t="s">
        <v>25</v>
      </c>
      <c r="U39" s="1" t="s">
        <v>613</v>
      </c>
      <c r="V39" s="4">
        <v>4995452</v>
      </c>
    </row>
    <row r="40" spans="1:22" x14ac:dyDescent="0.35">
      <c r="A40" s="1" t="s">
        <v>53</v>
      </c>
      <c r="B40" s="1" t="s">
        <v>18</v>
      </c>
      <c r="T40" s="1"/>
      <c r="U40" s="1" t="s">
        <v>611</v>
      </c>
      <c r="V40" s="4">
        <v>5699950</v>
      </c>
    </row>
    <row r="41" spans="1:22" x14ac:dyDescent="0.35">
      <c r="A41" s="1"/>
      <c r="B41" s="1" t="s">
        <v>27</v>
      </c>
      <c r="T41" s="1"/>
      <c r="U41" s="1" t="s">
        <v>616</v>
      </c>
      <c r="V41" s="4">
        <v>2216330</v>
      </c>
    </row>
    <row r="42" spans="1:22" x14ac:dyDescent="0.35">
      <c r="A42" s="1"/>
      <c r="B42" s="1" t="s">
        <v>66</v>
      </c>
      <c r="T42" s="1"/>
      <c r="U42" s="1" t="s">
        <v>612</v>
      </c>
      <c r="V42" s="4">
        <v>5811302</v>
      </c>
    </row>
    <row r="43" spans="1:22" x14ac:dyDescent="0.35">
      <c r="A43" s="1" t="s">
        <v>626</v>
      </c>
      <c r="B43" s="1"/>
      <c r="T43" s="1"/>
      <c r="U43" s="1" t="s">
        <v>615</v>
      </c>
      <c r="V43" s="4">
        <v>5654622</v>
      </c>
    </row>
    <row r="44" spans="1:22" x14ac:dyDescent="0.35">
      <c r="A44" s="1" t="s">
        <v>608</v>
      </c>
      <c r="B44" s="1"/>
      <c r="T44" s="1"/>
      <c r="U44" s="1" t="s">
        <v>614</v>
      </c>
      <c r="V44" s="4">
        <v>5279344</v>
      </c>
    </row>
    <row r="45" spans="1:22" x14ac:dyDescent="0.35">
      <c r="T45" s="1" t="s">
        <v>622</v>
      </c>
      <c r="U45" s="1"/>
      <c r="V45" s="4">
        <v>29657000</v>
      </c>
    </row>
    <row r="46" spans="1:22" x14ac:dyDescent="0.35">
      <c r="T46" s="1" t="s">
        <v>45</v>
      </c>
      <c r="U46" s="1" t="s">
        <v>613</v>
      </c>
      <c r="V46" s="4">
        <v>6672885</v>
      </c>
    </row>
    <row r="47" spans="1:22" x14ac:dyDescent="0.35">
      <c r="T47" s="1"/>
      <c r="U47" s="1" t="s">
        <v>611</v>
      </c>
      <c r="V47" s="4">
        <v>7243421</v>
      </c>
    </row>
    <row r="48" spans="1:22" x14ac:dyDescent="0.35">
      <c r="T48" s="1"/>
      <c r="U48" s="1" t="s">
        <v>616</v>
      </c>
      <c r="V48" s="4">
        <v>8689825</v>
      </c>
    </row>
    <row r="49" spans="20:22" x14ac:dyDescent="0.35">
      <c r="T49" s="1"/>
      <c r="U49" s="1" t="s">
        <v>612</v>
      </c>
      <c r="V49" s="4">
        <v>5180797</v>
      </c>
    </row>
    <row r="50" spans="20:22" x14ac:dyDescent="0.35">
      <c r="T50" s="1"/>
      <c r="U50" s="1" t="s">
        <v>615</v>
      </c>
      <c r="V50" s="4">
        <v>7272130</v>
      </c>
    </row>
    <row r="51" spans="20:22" x14ac:dyDescent="0.35">
      <c r="T51" s="1"/>
      <c r="U51" s="1" t="s">
        <v>614</v>
      </c>
      <c r="V51" s="4">
        <v>9735847</v>
      </c>
    </row>
    <row r="52" spans="20:22" x14ac:dyDescent="0.35">
      <c r="T52" s="1" t="s">
        <v>623</v>
      </c>
      <c r="U52" s="1"/>
      <c r="V52" s="4">
        <v>44794905</v>
      </c>
    </row>
    <row r="53" spans="20:22" x14ac:dyDescent="0.35">
      <c r="T53" s="1" t="s">
        <v>34</v>
      </c>
      <c r="U53" s="1" t="s">
        <v>613</v>
      </c>
      <c r="V53" s="4">
        <v>3755209</v>
      </c>
    </row>
    <row r="54" spans="20:22" x14ac:dyDescent="0.35">
      <c r="T54" s="1"/>
      <c r="U54" s="1" t="s">
        <v>611</v>
      </c>
      <c r="V54" s="4">
        <v>5452522</v>
      </c>
    </row>
    <row r="55" spans="20:22" x14ac:dyDescent="0.35">
      <c r="T55" s="1"/>
      <c r="U55" s="1" t="s">
        <v>616</v>
      </c>
      <c r="V55" s="4">
        <v>4235873</v>
      </c>
    </row>
    <row r="56" spans="20:22" x14ac:dyDescent="0.35">
      <c r="T56" s="1"/>
      <c r="U56" s="1" t="s">
        <v>612</v>
      </c>
      <c r="V56" s="4">
        <v>6345677</v>
      </c>
    </row>
    <row r="57" spans="20:22" x14ac:dyDescent="0.35">
      <c r="T57" s="1"/>
      <c r="U57" s="1" t="s">
        <v>615</v>
      </c>
      <c r="V57" s="4">
        <v>10349409</v>
      </c>
    </row>
    <row r="58" spans="20:22" x14ac:dyDescent="0.35">
      <c r="T58" s="1"/>
      <c r="U58" s="1" t="s">
        <v>614</v>
      </c>
      <c r="V58" s="4">
        <v>2020059</v>
      </c>
    </row>
    <row r="59" spans="20:22" x14ac:dyDescent="0.35">
      <c r="T59" s="1" t="s">
        <v>624</v>
      </c>
      <c r="U59" s="1"/>
      <c r="V59" s="4">
        <v>32158749</v>
      </c>
    </row>
    <row r="60" spans="20:22" x14ac:dyDescent="0.35">
      <c r="T60" s="1" t="s">
        <v>16</v>
      </c>
      <c r="U60" s="1" t="s">
        <v>613</v>
      </c>
      <c r="V60" s="4">
        <v>6307840</v>
      </c>
    </row>
    <row r="61" spans="20:22" x14ac:dyDescent="0.35">
      <c r="T61" s="1"/>
      <c r="U61" s="1" t="s">
        <v>611</v>
      </c>
      <c r="V61" s="4">
        <v>6295399</v>
      </c>
    </row>
    <row r="62" spans="20:22" x14ac:dyDescent="0.35">
      <c r="T62" s="1"/>
      <c r="U62" s="1" t="s">
        <v>616</v>
      </c>
      <c r="V62" s="4">
        <v>6598943</v>
      </c>
    </row>
    <row r="63" spans="20:22" x14ac:dyDescent="0.35">
      <c r="T63" s="1"/>
      <c r="U63" s="1" t="s">
        <v>612</v>
      </c>
      <c r="V63" s="4">
        <v>7767405</v>
      </c>
    </row>
    <row r="64" spans="20:22" x14ac:dyDescent="0.35">
      <c r="T64" s="1"/>
      <c r="U64" s="1" t="s">
        <v>615</v>
      </c>
      <c r="V64" s="4">
        <v>8699107</v>
      </c>
    </row>
    <row r="65" spans="20:22" x14ac:dyDescent="0.35">
      <c r="T65" s="1"/>
      <c r="U65" s="1" t="s">
        <v>614</v>
      </c>
      <c r="V65" s="4">
        <v>10653039</v>
      </c>
    </row>
    <row r="66" spans="20:22" x14ac:dyDescent="0.35">
      <c r="T66" s="1" t="s">
        <v>625</v>
      </c>
      <c r="U66" s="1"/>
      <c r="V66" s="4">
        <v>46321733</v>
      </c>
    </row>
    <row r="67" spans="20:22" x14ac:dyDescent="0.35">
      <c r="T67" s="1" t="s">
        <v>53</v>
      </c>
      <c r="U67" s="1" t="s">
        <v>613</v>
      </c>
      <c r="V67" s="4">
        <v>10105047</v>
      </c>
    </row>
    <row r="68" spans="20:22" x14ac:dyDescent="0.35">
      <c r="T68" s="1"/>
      <c r="U68" s="1" t="s">
        <v>611</v>
      </c>
      <c r="V68" s="4">
        <v>5255562</v>
      </c>
    </row>
    <row r="69" spans="20:22" x14ac:dyDescent="0.35">
      <c r="T69" s="1"/>
      <c r="U69" s="1" t="s">
        <v>616</v>
      </c>
      <c r="V69" s="4">
        <v>5696884</v>
      </c>
    </row>
    <row r="70" spans="20:22" x14ac:dyDescent="0.35">
      <c r="T70" s="1"/>
      <c r="U70" s="1" t="s">
        <v>612</v>
      </c>
      <c r="V70" s="4">
        <v>4427930</v>
      </c>
    </row>
    <row r="71" spans="20:22" x14ac:dyDescent="0.35">
      <c r="T71" s="1"/>
      <c r="U71" s="1" t="s">
        <v>615</v>
      </c>
      <c r="V71" s="4">
        <v>5389222</v>
      </c>
    </row>
    <row r="72" spans="20:22" x14ac:dyDescent="0.35">
      <c r="T72" s="1"/>
      <c r="U72" s="1" t="s">
        <v>614</v>
      </c>
      <c r="V72" s="4">
        <v>4172335</v>
      </c>
    </row>
    <row r="73" spans="20:22" x14ac:dyDescent="0.35">
      <c r="T73" s="1" t="s">
        <v>626</v>
      </c>
      <c r="U73" s="1"/>
      <c r="V73" s="4">
        <v>35046980</v>
      </c>
    </row>
    <row r="74" spans="20:22" x14ac:dyDescent="0.35">
      <c r="T74" s="1" t="s">
        <v>608</v>
      </c>
      <c r="U74" s="1"/>
      <c r="V74" s="4">
        <v>338346393</v>
      </c>
    </row>
  </sheetData>
  <mergeCells count="1">
    <mergeCell ref="X2:Y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1D70C-9D89-4481-9A51-20A902238314}">
  <dimension ref="A1:Z68"/>
  <sheetViews>
    <sheetView showGridLines="0" showRowColHeaders="0" tabSelected="1" zoomScale="35" zoomScaleNormal="51" workbookViewId="0">
      <selection activeCell="AD113" sqref="AD113"/>
    </sheetView>
  </sheetViews>
  <sheetFormatPr defaultRowHeight="14.5" x14ac:dyDescent="0.35"/>
  <cols>
    <col min="18" max="18" width="8.7265625" customWidth="1"/>
  </cols>
  <sheetData>
    <row r="1" spans="1:26" x14ac:dyDescent="0.35">
      <c r="A1" s="5"/>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9" spans="1:26" x14ac:dyDescent="0.35">
      <c r="A9" s="5"/>
      <c r="B9" s="5"/>
      <c r="C9" s="5"/>
      <c r="D9" s="5"/>
      <c r="E9" s="5"/>
      <c r="F9" s="5"/>
      <c r="G9" s="5"/>
      <c r="H9" s="5"/>
      <c r="I9" s="5"/>
      <c r="J9" s="5"/>
      <c r="K9" s="5"/>
      <c r="L9" s="5"/>
      <c r="M9" s="5"/>
      <c r="N9" s="5"/>
      <c r="O9" s="5"/>
      <c r="P9" s="5"/>
      <c r="Q9" s="5"/>
      <c r="R9" s="5"/>
      <c r="S9" s="5"/>
      <c r="T9" s="5"/>
      <c r="U9" s="5"/>
      <c r="V9" s="5"/>
      <c r="W9" s="5"/>
      <c r="X9" s="5"/>
      <c r="Y9" s="5"/>
      <c r="Z9" s="5"/>
    </row>
    <row r="10" spans="1:26" x14ac:dyDescent="0.3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5" spans="1:26" x14ac:dyDescent="0.35">
      <c r="A55" s="19"/>
      <c r="B55" s="19"/>
      <c r="C55" s="19"/>
      <c r="D55" s="19"/>
      <c r="E55" s="19"/>
      <c r="F55" s="19"/>
      <c r="G55" s="19"/>
      <c r="H55" s="19"/>
      <c r="I55" s="19"/>
      <c r="J55" s="19"/>
      <c r="K55" s="19"/>
      <c r="L55" s="19"/>
      <c r="M55" s="19"/>
      <c r="N55" s="19"/>
      <c r="O55" s="19"/>
      <c r="P55" s="19"/>
      <c r="Q55" s="19"/>
    </row>
    <row r="56" spans="1:26" x14ac:dyDescent="0.35">
      <c r="A56" s="19"/>
      <c r="B56" s="19"/>
      <c r="C56" s="19"/>
      <c r="D56" s="19"/>
      <c r="E56" s="19"/>
      <c r="F56" s="19"/>
      <c r="G56" s="19"/>
      <c r="H56" s="19"/>
      <c r="I56" s="19"/>
      <c r="J56" s="19"/>
      <c r="K56" s="19"/>
      <c r="L56" s="19"/>
      <c r="M56" s="19"/>
      <c r="N56" s="19"/>
      <c r="O56" s="19"/>
      <c r="P56" s="19"/>
      <c r="Q56" s="19"/>
    </row>
    <row r="57" spans="1:26" x14ac:dyDescent="0.35">
      <c r="A57" s="19"/>
      <c r="B57" s="19"/>
      <c r="C57" s="19"/>
      <c r="D57" s="19"/>
      <c r="E57" s="19"/>
      <c r="F57" s="19"/>
      <c r="G57" s="19"/>
      <c r="H57" s="19"/>
      <c r="I57" s="19"/>
      <c r="J57" s="19"/>
      <c r="K57" s="19"/>
      <c r="L57" s="19"/>
      <c r="M57" s="19"/>
      <c r="N57" s="19"/>
      <c r="O57" s="19"/>
      <c r="P57" s="19"/>
      <c r="Q57" s="19"/>
    </row>
    <row r="58" spans="1:26" x14ac:dyDescent="0.35">
      <c r="A58" s="19"/>
      <c r="B58" s="19"/>
      <c r="C58" s="19"/>
      <c r="D58" s="19"/>
      <c r="E58" s="19"/>
      <c r="F58" s="19"/>
      <c r="G58" s="19"/>
      <c r="H58" s="19"/>
      <c r="I58" s="19"/>
      <c r="J58" s="19"/>
      <c r="K58" s="19"/>
      <c r="L58" s="19"/>
      <c r="M58" s="19"/>
      <c r="N58" s="19"/>
      <c r="O58" s="19"/>
      <c r="P58" s="19"/>
      <c r="Q58" s="19"/>
    </row>
    <row r="59" spans="1:26" x14ac:dyDescent="0.35">
      <c r="A59" s="19"/>
      <c r="B59" s="19"/>
      <c r="C59" s="19"/>
      <c r="D59" s="19"/>
      <c r="E59" s="19"/>
      <c r="F59" s="19"/>
      <c r="G59" s="19"/>
      <c r="H59" s="19"/>
      <c r="I59" s="19"/>
      <c r="J59" s="19"/>
      <c r="K59" s="19"/>
      <c r="L59" s="19"/>
      <c r="M59" s="19"/>
      <c r="N59" s="19"/>
      <c r="O59" s="19"/>
      <c r="P59" s="19"/>
      <c r="Q59" s="19"/>
    </row>
    <row r="60" spans="1:26" x14ac:dyDescent="0.35">
      <c r="A60" s="19"/>
      <c r="B60" s="19"/>
      <c r="C60" s="19"/>
      <c r="D60" s="19"/>
      <c r="E60" s="19"/>
      <c r="F60" s="19"/>
      <c r="G60" s="19"/>
      <c r="H60" s="19"/>
      <c r="I60" s="19"/>
      <c r="J60" s="19"/>
      <c r="K60" s="19"/>
      <c r="L60" s="19"/>
      <c r="M60" s="19"/>
      <c r="N60" s="19"/>
      <c r="O60" s="19"/>
      <c r="P60" s="19"/>
      <c r="Q60" s="19"/>
    </row>
    <row r="61" spans="1:26" x14ac:dyDescent="0.35">
      <c r="A61" s="19"/>
      <c r="B61" s="19"/>
      <c r="C61" s="19"/>
      <c r="D61" s="19"/>
      <c r="E61" s="19"/>
      <c r="F61" s="19"/>
      <c r="G61" s="19"/>
      <c r="H61" s="19"/>
      <c r="I61" s="19"/>
      <c r="J61" s="19"/>
      <c r="K61" s="19"/>
      <c r="L61" s="19"/>
      <c r="M61" s="19"/>
      <c r="N61" s="19"/>
      <c r="O61" s="19"/>
      <c r="P61" s="19"/>
      <c r="Q61" s="19"/>
    </row>
    <row r="62" spans="1:26" x14ac:dyDescent="0.35">
      <c r="A62" s="19"/>
      <c r="B62" s="19"/>
      <c r="C62" s="19"/>
      <c r="D62" s="19"/>
      <c r="E62" s="19"/>
      <c r="F62" s="19"/>
      <c r="G62" s="19"/>
      <c r="H62" s="19"/>
      <c r="I62" s="19"/>
      <c r="J62" s="19"/>
      <c r="K62" s="19"/>
      <c r="L62" s="19"/>
      <c r="M62" s="19"/>
      <c r="N62" s="19"/>
      <c r="O62" s="19"/>
      <c r="P62" s="19"/>
      <c r="Q62" s="19"/>
    </row>
    <row r="63" spans="1:26" x14ac:dyDescent="0.35">
      <c r="A63" s="19"/>
      <c r="B63" s="19"/>
      <c r="C63" s="19"/>
      <c r="D63" s="19"/>
      <c r="E63" s="19"/>
      <c r="F63" s="19"/>
      <c r="G63" s="19"/>
      <c r="H63" s="19"/>
      <c r="I63" s="19"/>
      <c r="J63" s="19"/>
      <c r="K63" s="19"/>
      <c r="L63" s="19"/>
      <c r="M63" s="19"/>
      <c r="N63" s="19"/>
      <c r="O63" s="19"/>
      <c r="P63" s="19"/>
      <c r="Q63" s="19"/>
    </row>
    <row r="64" spans="1:26" x14ac:dyDescent="0.35">
      <c r="A64" s="19"/>
      <c r="B64" s="19"/>
      <c r="C64" s="19"/>
      <c r="D64" s="19"/>
      <c r="E64" s="19"/>
      <c r="F64" s="19"/>
      <c r="G64" s="19"/>
      <c r="H64" s="19"/>
      <c r="I64" s="19"/>
      <c r="J64" s="19"/>
      <c r="K64" s="19"/>
      <c r="L64" s="19"/>
      <c r="M64" s="19"/>
      <c r="N64" s="19"/>
      <c r="O64" s="19"/>
      <c r="P64" s="19"/>
      <c r="Q64" s="19"/>
    </row>
    <row r="65" spans="1:17" x14ac:dyDescent="0.35">
      <c r="A65" s="19"/>
      <c r="B65" s="19"/>
      <c r="C65" s="19"/>
      <c r="D65" s="19"/>
      <c r="E65" s="19"/>
      <c r="F65" s="19"/>
      <c r="G65" s="19"/>
      <c r="H65" s="19"/>
      <c r="I65" s="19"/>
      <c r="J65" s="19"/>
      <c r="K65" s="19"/>
      <c r="L65" s="19"/>
      <c r="M65" s="19"/>
      <c r="N65" s="19"/>
      <c r="O65" s="19"/>
      <c r="P65" s="19"/>
      <c r="Q65" s="19"/>
    </row>
    <row r="66" spans="1:17" x14ac:dyDescent="0.35">
      <c r="A66" s="19"/>
      <c r="B66" s="19"/>
      <c r="C66" s="19"/>
      <c r="D66" s="19"/>
      <c r="E66" s="19"/>
      <c r="F66" s="19"/>
      <c r="G66" s="19"/>
      <c r="H66" s="19"/>
      <c r="I66" s="19"/>
      <c r="J66" s="19"/>
      <c r="K66" s="19"/>
      <c r="L66" s="19"/>
      <c r="M66" s="19"/>
      <c r="N66" s="19"/>
      <c r="O66" s="19"/>
      <c r="P66" s="19"/>
      <c r="Q66" s="19"/>
    </row>
    <row r="67" spans="1:17" x14ac:dyDescent="0.35">
      <c r="A67" s="19"/>
      <c r="B67" s="19"/>
      <c r="C67" s="19"/>
      <c r="D67" s="19"/>
      <c r="E67" s="19"/>
      <c r="F67" s="19"/>
      <c r="G67" s="19"/>
      <c r="H67" s="19"/>
      <c r="I67" s="19"/>
      <c r="J67" s="19"/>
      <c r="K67" s="19"/>
      <c r="L67" s="19"/>
      <c r="M67" s="19"/>
      <c r="N67" s="19"/>
      <c r="O67" s="19"/>
      <c r="P67" s="19"/>
      <c r="Q67" s="19"/>
    </row>
    <row r="68" spans="1:17" x14ac:dyDescent="0.35">
      <c r="A68" s="5"/>
      <c r="B68" s="5"/>
      <c r="C68" s="5"/>
      <c r="D68" s="5"/>
      <c r="E68" s="5"/>
      <c r="F68" s="5"/>
      <c r="G6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18BBA2-DD4C-4755-B1A8-108D73E970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 sales</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11elFekY11@gmail.com</cp:lastModifiedBy>
  <dcterms:created xsi:type="dcterms:W3CDTF">2026-04-29T15:26:28Z</dcterms:created>
  <dcterms:modified xsi:type="dcterms:W3CDTF">2026-06-04T12:28:05Z</dcterms:modified>
</cp:coreProperties>
</file>